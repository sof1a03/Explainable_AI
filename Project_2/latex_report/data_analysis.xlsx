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codeName="ThisWorkbook" defaultThemeVersion="202300"/>
  <mc:AlternateContent xmlns:mc="http://schemas.openxmlformats.org/markup-compatibility/2006">
    <mc:Choice Requires="x15">
      <x15ac:absPath xmlns:x15ac="http://schemas.microsoft.com/office/spreadsheetml/2010/11/ac" url="https://d.docs.live.net/4f84e8f87296e51b/03_Uni/UU/Period 1.3/XAI/"/>
    </mc:Choice>
  </mc:AlternateContent>
  <xr:revisionPtr revIDLastSave="131" documentId="8_{2EBB5BD0-68C1-5C47-9F6B-5DDD050C808C}" xr6:coauthVersionLast="47" xr6:coauthVersionMax="47" xr10:uidLastSave="{A124B1BF-39FA-F042-8A1D-FA05D12E5137}"/>
  <bookViews>
    <workbookView xWindow="0" yWindow="500" windowWidth="28800" windowHeight="16400" activeTab="1" xr2:uid="{D3C119CA-FA54-5742-A8B9-24C934579A04}"/>
  </bookViews>
  <sheets>
    <sheet name="Sheet1" sheetId="1" r:id="rId1"/>
    <sheet name="Sheet2" sheetId="11" r:id="rId2"/>
    <sheet name="Input1" sheetId="8" r:id="rId3"/>
    <sheet name="Input2" sheetId="7" r:id="rId4"/>
    <sheet name="Input3" sheetId="4" r:id="rId5"/>
    <sheet name="Input4" sheetId="9" r:id="rId6"/>
    <sheet name="Input5" sheetId="10"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11" l="1"/>
  <c r="C16" i="11"/>
  <c r="D16" i="11"/>
  <c r="E16" i="11"/>
  <c r="F16" i="11"/>
  <c r="G16" i="11"/>
  <c r="C17" i="11"/>
  <c r="J17" i="11" s="1"/>
  <c r="D17" i="11"/>
  <c r="E17" i="11"/>
  <c r="F17" i="11"/>
  <c r="G17" i="11"/>
  <c r="C18" i="11"/>
  <c r="J18" i="11" s="1"/>
  <c r="D18" i="11"/>
  <c r="E18" i="11"/>
  <c r="F18" i="11"/>
  <c r="G18" i="11"/>
  <c r="C19" i="11"/>
  <c r="J19" i="11" s="1"/>
  <c r="D19" i="11"/>
  <c r="E19" i="11"/>
  <c r="F19" i="11"/>
  <c r="G19" i="11"/>
  <c r="C20" i="11"/>
  <c r="J20" i="11" s="1"/>
  <c r="D20" i="11"/>
  <c r="E20" i="11"/>
  <c r="F20" i="11"/>
  <c r="G20" i="11"/>
  <c r="D15" i="11"/>
  <c r="E15" i="11"/>
  <c r="F15" i="11"/>
  <c r="G15" i="11"/>
  <c r="C15" i="11"/>
  <c r="J16" i="11"/>
  <c r="J15" i="11"/>
  <c r="C6" i="11"/>
  <c r="D6" i="11"/>
  <c r="E6" i="11"/>
  <c r="F6" i="11"/>
  <c r="G6" i="11"/>
  <c r="C7" i="11"/>
  <c r="D7" i="11"/>
  <c r="E7" i="11"/>
  <c r="F7" i="11"/>
  <c r="G7" i="11"/>
  <c r="C8" i="11"/>
  <c r="D8" i="11"/>
  <c r="E8" i="11"/>
  <c r="F8" i="11"/>
  <c r="G8" i="11"/>
  <c r="C9" i="11"/>
  <c r="D9" i="11"/>
  <c r="E9" i="11"/>
  <c r="F9" i="11"/>
  <c r="G9" i="11"/>
  <c r="C10" i="11"/>
  <c r="D10" i="11"/>
  <c r="E10" i="11"/>
  <c r="F10" i="11"/>
  <c r="G10" i="11"/>
  <c r="D5" i="11"/>
  <c r="E5" i="11"/>
  <c r="F5" i="11"/>
  <c r="G5" i="11"/>
  <c r="C5" i="11"/>
  <c r="N5" i="4"/>
  <c r="S5" i="4" s="1"/>
  <c r="O5" i="4"/>
  <c r="P5" i="4"/>
  <c r="Q5" i="4"/>
  <c r="R5" i="4"/>
  <c r="N6" i="4"/>
  <c r="S6" i="4" s="1"/>
  <c r="O6" i="4"/>
  <c r="P6" i="4"/>
  <c r="Q6" i="4"/>
  <c r="R6" i="4"/>
  <c r="N7" i="4"/>
  <c r="S7" i="4" s="1"/>
  <c r="O7" i="4"/>
  <c r="P7" i="4"/>
  <c r="Q7" i="4"/>
  <c r="R7" i="4"/>
  <c r="N8" i="4"/>
  <c r="S8" i="4" s="1"/>
  <c r="O8" i="4"/>
  <c r="P8" i="4"/>
  <c r="Q8" i="4"/>
  <c r="R8" i="4"/>
  <c r="N9" i="4"/>
  <c r="S9" i="4" s="1"/>
  <c r="O9" i="4"/>
  <c r="P9" i="4"/>
  <c r="Q9" i="4"/>
  <c r="R9" i="4"/>
  <c r="O4" i="4"/>
  <c r="P4" i="4"/>
  <c r="Q4" i="4"/>
  <c r="R4" i="4"/>
  <c r="N4" i="4"/>
  <c r="S4" i="4" s="1"/>
  <c r="Q9" i="10"/>
  <c r="P9" i="10"/>
  <c r="O9" i="10"/>
  <c r="N9" i="10"/>
  <c r="M9" i="10"/>
  <c r="R9" i="10" s="1"/>
  <c r="Q8" i="10"/>
  <c r="P8" i="10"/>
  <c r="O8" i="10"/>
  <c r="N8" i="10"/>
  <c r="M8" i="10"/>
  <c r="R8" i="10" s="1"/>
  <c r="Q7" i="10"/>
  <c r="P7" i="10"/>
  <c r="O7" i="10"/>
  <c r="N7" i="10"/>
  <c r="M7" i="10"/>
  <c r="R7" i="10" s="1"/>
  <c r="Q6" i="10"/>
  <c r="P6" i="10"/>
  <c r="O6" i="10"/>
  <c r="N6" i="10"/>
  <c r="M6" i="10"/>
  <c r="R6" i="10" s="1"/>
  <c r="Q5" i="10"/>
  <c r="P5" i="10"/>
  <c r="O5" i="10"/>
  <c r="N5" i="10"/>
  <c r="M5" i="10"/>
  <c r="R5" i="10" s="1"/>
  <c r="Q4" i="10"/>
  <c r="P4" i="10"/>
  <c r="O4" i="10"/>
  <c r="N4" i="10"/>
  <c r="M4" i="10"/>
  <c r="R4" i="10" s="1"/>
  <c r="Q9" i="9"/>
  <c r="P9" i="9"/>
  <c r="O9" i="9"/>
  <c r="N9" i="9"/>
  <c r="M9" i="9"/>
  <c r="Q8" i="9"/>
  <c r="P8" i="9"/>
  <c r="O8" i="9"/>
  <c r="N8" i="9"/>
  <c r="M8" i="9"/>
  <c r="Q7" i="9"/>
  <c r="P7" i="9"/>
  <c r="O7" i="9"/>
  <c r="N7" i="9"/>
  <c r="M7" i="9"/>
  <c r="Q6" i="9"/>
  <c r="P6" i="9"/>
  <c r="O6" i="9"/>
  <c r="N6" i="9"/>
  <c r="M6" i="9"/>
  <c r="Q5" i="9"/>
  <c r="P5" i="9"/>
  <c r="O5" i="9"/>
  <c r="N5" i="9"/>
  <c r="M5" i="9"/>
  <c r="Q4" i="9"/>
  <c r="P4" i="9"/>
  <c r="O4" i="9"/>
  <c r="N4" i="9"/>
  <c r="M4" i="9"/>
  <c r="Q9" i="7"/>
  <c r="P9" i="7"/>
  <c r="O9" i="7"/>
  <c r="N9" i="7"/>
  <c r="M9" i="7"/>
  <c r="R9" i="7" s="1"/>
  <c r="Q8" i="7"/>
  <c r="P8" i="7"/>
  <c r="O8" i="7"/>
  <c r="N8" i="7"/>
  <c r="M8" i="7"/>
  <c r="R8" i="7" s="1"/>
  <c r="Q7" i="7"/>
  <c r="P7" i="7"/>
  <c r="O7" i="7"/>
  <c r="N7" i="7"/>
  <c r="M7" i="7"/>
  <c r="R7" i="7" s="1"/>
  <c r="Q6" i="7"/>
  <c r="P6" i="7"/>
  <c r="O6" i="7"/>
  <c r="N6" i="7"/>
  <c r="M6" i="7"/>
  <c r="R6" i="7" s="1"/>
  <c r="Q5" i="7"/>
  <c r="P5" i="7"/>
  <c r="O5" i="7"/>
  <c r="N5" i="7"/>
  <c r="M5" i="7"/>
  <c r="R5" i="7" s="1"/>
  <c r="Q4" i="7"/>
  <c r="P4" i="7"/>
  <c r="O4" i="7"/>
  <c r="N4" i="7"/>
  <c r="M4" i="7"/>
  <c r="R4" i="7" s="1"/>
  <c r="M5" i="8"/>
  <c r="R5" i="8" s="1"/>
  <c r="N5" i="8"/>
  <c r="O5" i="8"/>
  <c r="P5" i="8"/>
  <c r="Q5" i="8"/>
  <c r="M6" i="8"/>
  <c r="R6" i="8" s="1"/>
  <c r="N6" i="8"/>
  <c r="O6" i="8"/>
  <c r="P6" i="8"/>
  <c r="Q6" i="8"/>
  <c r="M7" i="8"/>
  <c r="R7" i="8" s="1"/>
  <c r="N7" i="8"/>
  <c r="O7" i="8"/>
  <c r="P7" i="8"/>
  <c r="Q7" i="8"/>
  <c r="M8" i="8"/>
  <c r="R8" i="8" s="1"/>
  <c r="N8" i="8"/>
  <c r="O8" i="8"/>
  <c r="P8" i="8"/>
  <c r="Q8" i="8"/>
  <c r="M9" i="8"/>
  <c r="R9" i="8" s="1"/>
  <c r="N9" i="8"/>
  <c r="O9" i="8"/>
  <c r="P9" i="8"/>
  <c r="Q9" i="8"/>
  <c r="N4" i="8"/>
  <c r="O4" i="8"/>
  <c r="P4" i="8"/>
  <c r="Q4" i="8"/>
  <c r="M4" i="8"/>
  <c r="R4" i="8" s="1"/>
  <c r="R8" i="9" l="1"/>
  <c r="R6" i="9"/>
  <c r="R5" i="9"/>
  <c r="R7" i="9"/>
  <c r="R4" i="9"/>
  <c r="R9" i="9"/>
</calcChain>
</file>

<file path=xl/sharedStrings.xml><?xml version="1.0" encoding="utf-8"?>
<sst xmlns="http://schemas.openxmlformats.org/spreadsheetml/2006/main" count="196" uniqueCount="126">
  <si>
    <t>The explanation clearly shows how the system arrived at its decision.</t>
  </si>
  <si>
    <t>Comment</t>
  </si>
  <si>
    <t>The explanation covers all relevant information correctly.</t>
  </si>
  <si>
    <t>The level of detail in the explanation is sufficient for me to understand the
decision.</t>
  </si>
  <si>
    <t>The explanation appropriately addresses the question.</t>
  </si>
  <si>
    <t>I believe the system is making decisions in my best interest considering my
preferences.</t>
  </si>
  <si>
    <t>I am satisfied with the explanation provided.</t>
  </si>
  <si>
    <t>inout 5: The explanations clearly covers the steps. It would be preferable to avoid negation structures like "Ann is in the office was not satisfied".</t>
  </si>
  <si>
    <t>Input 5: Seems to work good, only weird thing it said it prefered to use their own card above that of an colleague,
because it has a lower cost, which seems correct, but weird to an end user.</t>
  </si>
  <si>
    <t>Input 1: 
I am confused, does this bot actually paid at the shop or not?</t>
  </si>
  <si>
    <t>input 2 (over time and price.): 
this is not correct, but not part of the feedback section so I won't mention it in the actual comment
2</t>
  </si>
  <si>
    <t>Input5 (The agent preferred to go get their own card over borrow a card from a colleague because it had a lower overall cost):
For the end user it seems weird to talk about an cost of borrowing an colleagues card.</t>
  </si>
  <si>
    <t>Input 5 (The agent could not get a coﬀee from Ann's oﬃce because Ann is in the oﬃce was not satisﬁed.)
Ann is not provided in the input so mentioning this is not so appropriate</t>
  </si>
  <si>
    <t>Input3 (was necessary to check that it is at the shop, it has paid at the shop): 
Should be an 'and' instead of the comma.</t>
  </si>
  <si>
    <t>Input2 (The agent could not get a coﬀee from Ann's oﬃce because Ann is in the oﬃce was not satisﬁed):
Same here</t>
  </si>
  <si>
    <t>Input2 (he agent could not pick up the coﬀee from the shop because it has money was not satisﬁed.):
Same here</t>
  </si>
  <si>
    <t>Input 2 (The agent could not borrow a card from a colleague because a colleague is available was not satisﬁed): 
Seems like you talk about a variable, but it is placed in the sentence as natural langue which makes the
sentence not flowing correctly.</t>
  </si>
  <si>
    <t>Input2 (Before being able to make coﬀee in the kitchen, it was necessary to check that it has a staﬀ card, it is at the kitchen.)
This sentence seems weird. It wasn't needed to say that it was in the kitchen.</t>
  </si>
  <si>
    <t xml:space="preserve">General: </t>
  </si>
  <si>
    <t>The way the nodes from the tree are converted in to natural language makes some of the sentences a bit hard
to read. Sometimes ungrammatical structures are formed as a result of this. I like that when the model fails to
find a path, it gives some reasoning as to why this happened, instead of not giving an answer at all.</t>
  </si>
  <si>
    <t>The explanation is a bit long and it is hard to follow the line of thought. It is explained why we choose the
kitchen coffee over the shop coffee, however reasoning about Ann's office is given only after explaining that we
are getting our own card. This order makes it hard to follow.</t>
  </si>
  <si>
    <t>Likert Rating</t>
  </si>
  <si>
    <t>The explanation's structure makes it difficult to follow the flow of thought. In some places, it seems very
unnatural and robotic. The reason why the other two places were discarded is only given at the end of the
explanation, which is not ideal.</t>
  </si>
  <si>
    <t>The phrasing in the explanation could be improved to say something like "The action was not performed..."
instead of " The action cannot be explained...". Because with later there is an implication that the agent is not
capable of explaining itself.</t>
  </si>
  <si>
    <t>The explanation is hard to follow. It doesn't follow a step-by-step explanation, in some places it describes
actions from the result to the initial state, and in others - follows a more top-down approach starting from the
initial state. Focusing on one of the approaches can greatly improve the feeling of the explanation.</t>
  </si>
  <si>
    <t>- The explanation is hard to follow.
- Your agent says "This decision was made because it has money.", but in the very next sentence it says "it was
necessary to check that it has money". This line of thought is unclear and the order might confuse people.
- "...it had a lower overall cost, especially with quality..." - how can you explain what the cost of quality is?</t>
  </si>
  <si>
    <t>Comment 1</t>
  </si>
  <si>
    <t>Comment 3</t>
  </si>
  <si>
    <t>Comment 4</t>
  </si>
  <si>
    <t>Comment 5</t>
  </si>
  <si>
    <t>Comment 2</t>
  </si>
  <si>
    <t>Comment 6</t>
  </si>
  <si>
    <t>The question was to explain why the agent got coffee from the shop. The answer starts with explaining that
getting coffee from the shop was a valid choice, that is fine. The detail provided is good.
It would have also sufficed, and maybe been better, if you only explained why it chose to get coffee from the
shop instead of one of the other two alternatives (higher up in the tree), and leave the actions that are executed
as part of getting coffee from the shop, be.
The explanation covers all relevant information correctly.</t>
  </si>
  <si>
    <t>All relevant information is covered correctly, aside from some natural-language mistakes. But that goes beyond
the scope of this specific point of grading. In fact, more than only the relevant information has been provided.
The level of detail in the explanation is sufficient for me to understand the decision.</t>
  </si>
  <si>
    <t>- so we do not know what actions it performed after it had made the decision to take the route of getting coffee
at the shop. At least, that would have been my interpretation as an end-user. I understand your approach too,
though, which is why I still want to give it a high score.</t>
  </si>
  <si>
    <t>Again, just a bit too much detail. It would have been more appropriate to only mention the parts leading up to
the decision from where to get coffee. By mentioning the kitchen had requirements not satisfied, and that the
preference goes to shop coffee over office coffee because it had a lower overall cost.</t>
  </si>
  <si>
    <t>It is clear what user preference has impacted exactly what decision. Furthermore, the user preference is also
clearly and explicitly mentioned, exactly where I would have expected it as a non-technical end-user.</t>
  </si>
  <si>
    <t>Generally a good explanation, but just too detailed. As I mentioned above, I do not think you had to explain that
it paid at the shop, et cetera - it would have probably been enough to mention all conditions for the entire
sequential process of getting coffee at the shop, were satisfied.
Other than that, I started to have a hard time following the explanation sometimes. Due to the use of “it” to
which Ann is being referred with. That gets confusing when you combine it with existing beliefs / places in the
context of the explanation. As a technical-user, I had no problem following. But a non-technical end-user may
not feel the same.</t>
  </si>
  <si>
    <t>Perfect, it is clear how the system got to the task of going to the kitchen. It explains why this task was possible
- why other alternatives were not possible, and briefly explained how it got the card it required for the kitchen
according to user preference. That last one might not have been necessary. It may have simply been enough to
just say that the other two alternatives were no option, and that considering everything else was satisfied - it
could go to the kitchen.</t>
  </si>
  <si>
    <t>All of the relevant information (and a bit more!) is mentioned in sufficient detail. When an action cannot be
done, it is explained why - whether it is from a violation or from a missing condition. Even costs are explained
and decisions reinforced with user preference.</t>
  </si>
  <si>
    <t>Explaining the user preference to pick whose staff card to use was irrelevant information in this part. It does not
matter whose staff card is used, to explain why the agent went to the kitchen. It went to the kitchen because
the other alternatives were not possible. So, it is slightly overly-verbose.</t>
  </si>
  <si>
    <t>By working backwards from the action to explain, the explanation more than appropriately addresses the
question. We are easily guided by the explanation, step by step, from the step we know must have happened.
This gives an easy-to-understand and non-overwhelming starting point, instead of the root of the entire goal
tree.</t>
  </si>
  <si>
    <t>The user preference seems to have been used when deciding whose staff card to use. While this was not a
necessary part of the explanation, its addition does prove that the system is making decisions in the best
interest of the user considering their preferences.
Similarly to another one of your outputs, I would have moved the explanation of user preferences one sentence
further, right after explaining the violation. This way, you are first giving the user preferences, and right after you
are already explaining why they are relevant in your decision making.</t>
  </si>
  <si>
    <t>While being slightly overly verbose, and while it does have some slight natural language / grammatical errors,
this is a very good explanation. If the grammatical errors were fixed; the user preferences moved one sentence
further; and the explanation dismissed the part about whose card to use (considering it is not so relevant for
the task to explain), then I really would not know what other critique I would have.</t>
  </si>
  <si>
    <t>Perfectly clear. I love how you start at the action to explain and then work backwards. Furthermore, very nice
job of mentioning the user preferences right before they matter - could have been a tad bit better if you moved
this to after explaining the violation, but still very good.
I was almost missing the sentence that mentioned that paying at the shop was required, but you saved that
with the last sentence. Maybe move that to be the first sentence, but very good nonetheless.</t>
  </si>
  <si>
    <t>Absolutely it does. All of the information required was properly shared whenever necessary and in a natura</t>
  </si>
  <si>
    <t>I cannot find any irrelevant information in the explanation, and everything that is relevant has been explained in
a perfect level of detail and verbosity - never too much and never too little. Norms are only mentioned when
violated (which is good - we care mostly about abnormal behavior anyway).</t>
  </si>
  <si>
    <t>By working backwards from the action to explain, I constantly had a good idea of the process and was
confident that we were actually getting to explain the action that was supposed to be explained. Very well done</t>
  </si>
  <si>
    <t>Wherever the user preference was relevant, it was mentioned in plentiful detail. It is mentioned why alternative x
is better or worse than y, and the relevant user preference is mentioned right before that. Like I previously said,
this could have been a tad bit better by moving the sentence about user preference one sentence further, after
the part about the violation, considering it is only required knowledge right then.</t>
  </si>
  <si>
    <t>A near perfect explanation, most definitely the best I have read so far. Only complaint would be moving the user
preference one sentence forward, and the few natural language / grammatical errors in the text. Perhaps
running the text through some kind of automated spell / grammar fixer without changing any of the content
would be of great value - and a potentially easy implementation.</t>
  </si>
  <si>
    <t>It is clear and formally explained why the system performed the action to get coffee from the kitchen. However,
it was a bit hard to interpret. The language does not have a natural feel to it, and contains some grammatical
errors. I can tell this is from string additions, most probably coming from a rule based approach.
It would already be very helpful if you added quotes around any items that is not pre-written text, e.g. “has a
staff card” and “it is at the kitchen”. For me as a technical student, it is clear that these come from string
additions, but as an end user I may be confused by the language and what it really means. Simple quotes
around items may already help a lot with interpretability.</t>
  </si>
  <si>
    <t>Assuming that the user preference has not affected decision making, then yes this is true. However, this is not
explicitly (or implicitly..) made clear the explanation. It would have been a nice detail to hear if the user
preference had any effect, and if so, what it actually affected.
Other than that, all relevant information is covered, though not in semantically correct natural language.</t>
  </si>
  <si>
    <t>Every decision has been explained properly in terms of what beliefs have lead to it and what actions came from
it. While the language is not grammatically correct or naturally feeling, it is semantically correct in terms of the
explanation.</t>
  </si>
  <si>
    <t>I really appreciate how the explanation works backwards, starting from the action to explain. This makes it clear
from the beginning that a certain action is selected, and how it came to be. It is much better than starting from
the root of the tree, and only happening to “end up” at the action to explain.</t>
  </si>
  <si>
    <t>While the user preference is mentioned, no where is it mentioned where it has actually affected the decision
making. If it has not affected the decision making, then I would not have included the user preference. If it did
affect the decision making, then I think it would have been better to explain in what way it had affected decision
making precisely.</t>
  </si>
  <si>
    <t>Generally a very good explanation. The natural-feel of the language could use some work, but I think this can
come with some easy fixes such as adding quotes and taking into account some edge cases, e.g. multiple prerequirements
for one action.
Other than that, it would have been nice to know what effect the user preference had, if any at all. If it did not
have any effect, then maybe remove the part where you describe the user preference.</t>
  </si>
  <si>
    <t>It is true that this action cannot be explained. The explanation also successfully says that it is prohibited by the
norm, which is in this case, a perfect explanation.</t>
  </si>
  <si>
    <t>It mentions that this action is prohibited by the norm, and that this is the reason why it cannot be explained.
That is perfect - it does not only refuse to explain, it says why it refuses to explain.</t>
  </si>
  <si>
    <t>It has become clear why the agent did not pick the action of paying at the shop, explicitly by the explanation.</t>
  </si>
  <si>
    <t>The question specifically asks to explain a certain action, which never actually got executed. The explanation
speaks only about that, and mentions this exact situation.</t>
  </si>
  <si>
    <t>This is not relevant for this case as the action that was supposed to be explained, was one that goes against
the norm. However, by not mentioning any user preferences we know that the agent correctly did not even
consider those, since conflicting norm-violations should be considered first, as per the assignment definition on
blackboard.</t>
  </si>
  <si>
    <t>The explanation mentions that the action was never executed, and explains the reason for that. Furthermore, it
does not explain any other irrelevant items, making it have the perfect level of verbosity.</t>
  </si>
  <si>
    <t>The explanation is generally fine but lacks smooth flow. Additionally, the statement about cost could
be phrased more clearly for an end user: *"The agent preferred to pick up the coffee from the shop over getting
coffee from Ann's office because it had a lower overall cost, especially with quality as the top priority."* The
logic behind "lower cost is better" should be better explained for an end user who may not fully understand this
reasoning.</t>
  </si>
  <si>
    <t>The explanation is correct, but it does not include the logic of the chosen trace.</t>
  </si>
  <si>
    <t>The explanation is generally correct but lacks a natural, human tone. For example, the phrase *"Ann's
office because Ann is in the office was not satisfied"* feels awkward and could be rephrased for clarity and
flow</t>
  </si>
  <si>
    <t>The explanation is generally fine but lacks smooth flow. Additionally, the statement about cost could
be phrased more clearly for an end user: "The agent preferred to pick up the coffee from the shop over getting
coffee from the kitchen because it had a lower overall cost, especially with quality as the top priority."
The logic behind "lower cost is better" should be explained more clearly for an end user who may not fully
understand this reasoning. In natural terms, the shop has a higher monetary cost but offers higher quality
coffee, which the user prioritized. This could have been better clarified in the explanation.</t>
  </si>
  <si>
    <t>The explanation lacks a natural flow, jumping between statements without clear connectivity.
Additionally, the reference to "the agent" could have been avoided by writing in the first-person perspective,
which would have made the explanation more cohesive.</t>
  </si>
  <si>
    <t>the explanation is efficient in terms of reasoning but it need some refinement in:
-there is no prohibition about going to shop but paying in shop.
- borrowing card from another colleague doesn't affect price but time
- i would like a more natural language explanation, agent should talk as "i" and no the agent and also to have a
flow and not answer if everything is satysfied or not</t>
  </si>
  <si>
    <t>The explanation is good, but some comments that i think it should have to be more on target and follows all
requirements are:
-it is not mentioned that should check that is at the shop.
-quality was a priority as you mentioned but shop is more expensive than ann'soffice coffee. so saying that has
lower overall cost is wrong.
-it needs a better overall flow to looks natural and not like answering if questions are satisfied</t>
  </si>
  <si>
    <t>the explanation is a bit complicated, it mistakenly says about making coffee in the kitchen which is not
mentioned. i would expect a better flow and not answer every option if it satisfied or not as they are questions
and it doesnt have to do with the explanation but i think that the actions should be more and not just going to
kitchen and getting coffee, it should have about the card</t>
  </si>
  <si>
    <t>the explanation correctly says that the action couldn't be executed but it should analyze how the agent achieved
the goal of having a coffee as it is mentioned in the steps "following actions" and its the main goal</t>
  </si>
  <si>
    <t>the explanation is a bit complicated, it says that prioritize quality but ann's Office coffee is not more expensive
(as it says that the shop has a lower cost).
instead of answering as "The agent" it should say "i" as the agent is speaking.
the flow needs improvement and not answering if it is satisfied or not. Also here the followed actions should be
more</t>
  </si>
  <si>
    <t>the explanation is good, has good reasoning, only comments that shop has higher cost and not lower and that it
should include all actions (GetCoffee)</t>
  </si>
  <si>
    <t>It’s decent overall</t>
  </si>
  <si>
    <t>The explanation is contradictory—if paying at the shop is prohibited, it should clarify why the agent
still chose it</t>
  </si>
  <si>
    <t>While it describes why the kitchen was chosen, there’s confusion around preconditions for using
one’s own card and the incorrect statements about “colleague is available” or “Ann is in the office” not being
satisfied. It references user preferences but doesn’t show actual cost comparisons.</t>
  </si>
  <si>
    <t>It does a decent job explaining how the shop option was chosen and mentions quality as the top
priority. However, it’s slightly unclear why the agent says “staff card is available was not satisfied” for the
kitchen route, which is unnatural. Overall, it’s coherent.</t>
  </si>
  <si>
    <t>The explanation covers why the shop path is off-limits and why the kitchen route was chosen, but it’s
confusing about “Ann is in the office was not satisfied.” That sounds contradictory. Also, it doesn’t clearly show
how price is measured or how going to the kitchen really won out on cost.</t>
  </si>
  <si>
    <t>The explanation feels a bit segmented and doesn't fluidly explain in a step format which I believe is the
easiest way to understand</t>
  </si>
  <si>
    <t>Even though it's a bit all over the place it does explain all the necessary information</t>
  </si>
  <si>
    <t>The level of detail is enough to understand the decision</t>
  </si>
  <si>
    <t>It does address the question appropriately</t>
  </si>
  <si>
    <t>It did take into consideration my interests since it took his own card for the lower cost</t>
  </si>
  <si>
    <t>I am satisfied with this explanation</t>
  </si>
  <si>
    <t>This explanation is quite confusing and repetitive and the priorities weren't addressed other than stating
them</t>
  </si>
  <si>
    <t>It covers most information however it is missing how it took priorities into consideration and it uses
sentences like "a colleague is available was not satisfied" making it sound very robotic and not fluid at all</t>
  </si>
  <si>
    <t>The level of detail is enough to understand the decision, even though written in a confusing manner. I do
however think it was very detailed and explained every aspect except ranking the priorities rather than just
saying which was the most important</t>
  </si>
  <si>
    <t>It did appropriately address the question</t>
  </si>
  <si>
    <t>It doesn't feel like it considered my interests since it didn't mention the priorities at all in the explanation other
than just stating them</t>
  </si>
  <si>
    <t>It concisely shows how it arrived to that decision</t>
  </si>
  <si>
    <t>Considering the only thing we need to know for this scenario is that it isn't allowed to go to the shop, it does
cover it correctly</t>
  </si>
  <si>
    <t>The level of detail is enough for this case</t>
  </si>
  <si>
    <t>It does appropriately answer the question</t>
  </si>
  <si>
    <t>It is making decisions in my best interest considering it is prohibited</t>
  </si>
  <si>
    <t>I am satisfied with the explanation</t>
  </si>
  <si>
    <t>This explanation also is not very clear and kind of backwards, it doesn't explain in a fluid step format which is
quite confusing</t>
  </si>
  <si>
    <t>The information, although confusing is correct however it could explain how it considered priorities better
and not just the most important one</t>
  </si>
  <si>
    <t>The level of detail is enough to understand but as previously stated it didn't discuss the priorities very well</t>
  </si>
  <si>
    <t>I don't think it is completely making decisions in my best interest considering it didn't explain how it took
priorities into account</t>
  </si>
  <si>
    <t>The explanation is clear, correct and concise. That the action of paying at the shop is prohibited is important
relevant information and is mentioned appropriately.</t>
  </si>
  <si>
    <t>The explanation is correct, but the action node names are not expressed correctly (in a grammatical/syntactic
way) which makes reading this explanation a bit harder compared to if it was written as normal phrases (e.g.
because it didn't have money instead of "because it has money was not satisfied"). The phrasing of the
preferences could also imply that price and time are on equal grounding when it's actually price &gt; time, so this
could give the use the impression that the agent does not have their best interests in mind. Additionally, the
order of the different explanatory components is quite confusing and makes the explanation difficult to
understand. It has to check that it has its own card, but then the explanation suddenly turns to the preferences
of the user, which had nothing to do with the sentences before and after this phrase about preferences. Lastly,
the last two phrases pertaining to why the agent didn't get coffee from the shop or from Ann's office also seem
misplaced, because this was a decision that was made at the beginning (choosing get getting kitchen coffee
over getting coffee from Ann's office or the shop).</t>
  </si>
  <si>
    <t>The explanation is correct and compared to input 2, most action node names are integrating into the text in a
natural way. However, the ordering/phrasing of the different components is once again not the most straightforward
which makes reading the explanation confusing. "Before being able to pay at the shop, it was
necessary to check that it has money" - while this action makes sense, it was mentioned before that a prior
decision was made because it had money. But rather, this decision was possible because it had money, and
after checking whether it has money, there is not confirmation from the agent that it has: the explanation
proceeds to discuss the preferences. It would have been clearer if the explanation also included this
confirmation of the agent having money, or not mentioning this phrase about money again, since it was already
mentioned it had money in the second sentence. One of the reasons why the agent chose shop coffee, which is
because coffee from the kitchen wasn't possible, is mentioned last again, which also makes the explanation
less clear.</t>
  </si>
  <si>
    <t>The explanation is quite clear and the structure also makes sense. The information is correct and relevant, and
overall the explanation is phrased in an easy to follow manner. It includes the preferences correctly, giving the
user the impression that the agent has their best interests in mind. The only component that is missing is why it
didn't choose to get kitchen coffee: all the preconditions for that trace were present. This could have made the
explanation complete.</t>
  </si>
  <si>
    <t>The explanation is correct and covers the relevant information. The structure is still not entirely clear, with
mentioning the path to Ann's office not being possible almost at the end of the explanation. Additionally, the
sentence "Before being able to go get their own card, it was necessary to check that it has their own card" is
confusing because it seems to imply the same thing twice, because by trying to get your own card, you will find
out if you have it.</t>
  </si>
  <si>
    <t>I find the explanation to be complete and satisfactory. The used method seems very robust. An end-user would
probably want a somewhat more brief explanation and the sentence structure could be improved a bit.</t>
  </si>
  <si>
    <t xml:space="preserve"> </t>
  </si>
  <si>
    <t>Seems like a good explanation!</t>
  </si>
  <si>
    <t>It was odd that it talked about borrowing the card from a colleague as having a cost.</t>
  </si>
  <si>
    <t xml:space="preserve">Little bit too much information, which would normally be implied.
</t>
  </si>
  <si>
    <t xml:space="preserve">Seems not that intuitive to an end user as cost not implies money.
</t>
  </si>
  <si>
    <t xml:space="preserve">Overall great explanation!
</t>
  </si>
  <si>
    <t>Seems like a good explanation! Some room for grammer improvements. And i would not talk about costs if it not refers to money.</t>
  </si>
  <si>
    <t>Talking about overall cost is not something an end user is going to understands. As cost does not refer to money here.</t>
  </si>
  <si>
    <t xml:space="preserve">Ann is not provided in the input so mentioning this is not so appropriate
</t>
  </si>
  <si>
    <t>Overall a 5 it does everything well and is a fluid and well written explanation, however I think it would be helpful if it ranks the priorities instead of only saying which is the most important and listing the others.</t>
  </si>
  <si>
    <t>The explanation clearly shows how the system arrived at its decision. The explanation follows the structure of the reasoning process and orders it logically. It does mention user preferences in some cases without additional context, so that could be improved upon. The beginning is pretty strong and clearly states the goal and what it will explain. • The explanation covers all relevant information correctly. Mostly, things like user preferences etc is not always completely covered, but overall most of the relevant information is mentioned. Also in the cases that something is prohibited. • The level of detail in the explanation is sufficient for me to understand the decision. Yes, this is sufficient. • The explanation appropriately addresses the question. Yes, like mentioned in " The explanation clearly shows how the system arrived at its decision.", the explanation clearly addresses the goal and what first steps it will take. Then the reasoning behind those steps and reasons for not following other steps are given. • I believe the system is making decisions in my best interest considering my preferences. Not in all cases, as mentioned previously. This could be a bit clearer. • I am satisfied with the explanation provided Overall, yes. The user preferences could be improved upon and perhaps adding a bit more detail to the explanations. Other than that, the explanations are fine.</t>
  </si>
  <si>
    <t>sums</t>
  </si>
  <si>
    <t>Overall</t>
  </si>
  <si>
    <t>Median</t>
  </si>
  <si>
    <t>Mean</t>
  </si>
  <si>
    <t>Q1</t>
  </si>
  <si>
    <t>Q2</t>
  </si>
  <si>
    <t>Q3</t>
  </si>
  <si>
    <t>Q4</t>
  </si>
  <si>
    <t>Q5</t>
  </si>
  <si>
    <t>Q6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</si>
</sst>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rgb="FF3F3F76"/>
      <name val="Aptos Narrow"/>
      <family val="2"/>
      <scheme val="minor"/>
    </font>
    <font>
      <sz val="15"/>
      <color rgb="FF424242"/>
      <name val="Helvetica"/>
      <family val="2"/>
    </font>
    <font>
      <sz val="10"/>
      <color theme="1"/>
      <name val="Helvetica"/>
      <family val="2"/>
    </font>
    <font>
      <b/>
      <sz val="12"/>
      <color theme="1"/>
      <name val="Aptos Narrow"/>
      <scheme val="minor"/>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1" fillId="2" borderId="1" applyNumberFormat="0" applyAlignment="0" applyProtection="0"/>
  </cellStyleXfs>
  <cellXfs count="8">
    <xf numFmtId="0" fontId="0" fillId="0" borderId="0" xfId="0"/>
    <xf numFmtId="0" fontId="2" fillId="0" borderId="0" xfId="0" applyFont="1"/>
    <xf numFmtId="0" fontId="3" fillId="0" borderId="0" xfId="0" applyFont="1"/>
    <xf numFmtId="0" fontId="3" fillId="0" borderId="0" xfId="0" applyFont="1" applyAlignment="1">
      <alignment wrapText="1"/>
    </xf>
    <xf numFmtId="0" fontId="0" fillId="0" borderId="0" xfId="0" quotePrefix="1" applyAlignment="1">
      <alignment wrapText="1"/>
    </xf>
    <xf numFmtId="0" fontId="0" fillId="0" borderId="0" xfId="0" applyAlignment="1">
      <alignment wrapText="1"/>
    </xf>
    <xf numFmtId="0" fontId="1" fillId="2" borderId="1" xfId="1" applyAlignment="1">
      <alignment wrapText="1"/>
    </xf>
    <xf numFmtId="0" fontId="4" fillId="0" borderId="0" xfId="0" applyFont="1"/>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3F1D5-262E-384E-811F-C403B90FAE2E}">
  <sheetPr codeName="Sheet3"/>
  <dimension ref="B2:L12"/>
  <sheetViews>
    <sheetView topLeftCell="A8" zoomScale="69" workbookViewId="0">
      <selection activeCell="C12" sqref="C12"/>
    </sheetView>
  </sheetViews>
  <sheetFormatPr baseColWidth="10" defaultRowHeight="16" x14ac:dyDescent="0.2"/>
  <sheetData>
    <row r="2" spans="2:12" x14ac:dyDescent="0.2">
      <c r="C2">
        <v>1</v>
      </c>
      <c r="D2">
        <v>2</v>
      </c>
      <c r="E2">
        <v>3</v>
      </c>
      <c r="F2">
        <v>4</v>
      </c>
      <c r="G2">
        <v>5</v>
      </c>
      <c r="H2" t="s">
        <v>1</v>
      </c>
    </row>
    <row r="3" spans="2:12" ht="19" x14ac:dyDescent="0.2">
      <c r="B3" s="1" t="s">
        <v>0</v>
      </c>
      <c r="C3">
        <v>0</v>
      </c>
      <c r="D3">
        <v>0</v>
      </c>
      <c r="E3">
        <v>2</v>
      </c>
      <c r="F3">
        <v>5</v>
      </c>
      <c r="G3">
        <v>2</v>
      </c>
      <c r="H3" s="2" t="s">
        <v>7</v>
      </c>
    </row>
    <row r="4" spans="2:12" ht="255" x14ac:dyDescent="0.2">
      <c r="B4" s="1" t="s">
        <v>2</v>
      </c>
      <c r="C4">
        <v>0</v>
      </c>
      <c r="D4">
        <v>0</v>
      </c>
      <c r="E4">
        <v>3</v>
      </c>
      <c r="F4">
        <v>6</v>
      </c>
      <c r="G4">
        <v>1</v>
      </c>
      <c r="H4" s="3" t="s">
        <v>8</v>
      </c>
      <c r="I4" s="4" t="s">
        <v>10</v>
      </c>
    </row>
    <row r="5" spans="2:12" ht="372" x14ac:dyDescent="0.2">
      <c r="B5" s="5" t="s">
        <v>3</v>
      </c>
      <c r="C5">
        <v>0</v>
      </c>
      <c r="D5">
        <v>0</v>
      </c>
      <c r="E5">
        <v>5</v>
      </c>
      <c r="F5">
        <v>4</v>
      </c>
      <c r="G5">
        <v>1</v>
      </c>
      <c r="H5" s="4" t="s">
        <v>9</v>
      </c>
      <c r="I5" s="4" t="s">
        <v>11</v>
      </c>
    </row>
    <row r="6" spans="2:12" ht="289" x14ac:dyDescent="0.2">
      <c r="B6" s="1" t="s">
        <v>4</v>
      </c>
      <c r="C6">
        <v>0</v>
      </c>
      <c r="D6">
        <v>0</v>
      </c>
      <c r="E6">
        <v>1</v>
      </c>
      <c r="F6">
        <v>5</v>
      </c>
      <c r="G6">
        <v>1</v>
      </c>
      <c r="H6" s="4" t="s">
        <v>12</v>
      </c>
    </row>
    <row r="7" spans="2:12" ht="170" x14ac:dyDescent="0.2">
      <c r="B7" s="5" t="s">
        <v>5</v>
      </c>
      <c r="C7">
        <v>1</v>
      </c>
      <c r="D7">
        <v>0</v>
      </c>
      <c r="E7">
        <v>2</v>
      </c>
      <c r="F7">
        <v>1</v>
      </c>
      <c r="G7">
        <v>6</v>
      </c>
    </row>
    <row r="8" spans="2:12" ht="409.6" x14ac:dyDescent="0.2">
      <c r="B8" s="1" t="s">
        <v>6</v>
      </c>
      <c r="C8">
        <v>0</v>
      </c>
      <c r="D8">
        <v>0</v>
      </c>
      <c r="E8">
        <v>5</v>
      </c>
      <c r="F8">
        <v>4</v>
      </c>
      <c r="G8">
        <v>1</v>
      </c>
      <c r="H8" s="4" t="s">
        <v>14</v>
      </c>
      <c r="I8" s="4" t="s">
        <v>16</v>
      </c>
      <c r="J8" s="4" t="s">
        <v>13</v>
      </c>
      <c r="K8" s="4" t="s">
        <v>15</v>
      </c>
      <c r="L8" s="4" t="s">
        <v>17</v>
      </c>
    </row>
    <row r="11" spans="2:12" ht="409.5" x14ac:dyDescent="0.2">
      <c r="B11" t="s">
        <v>18</v>
      </c>
      <c r="C11" s="5" t="s">
        <v>19</v>
      </c>
    </row>
    <row r="12" spans="2:12" x14ac:dyDescent="0.2">
      <c r="C12" t="s">
        <v>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D90F0-A629-094D-BF41-539AC34CD166}">
  <dimension ref="B4:K20"/>
  <sheetViews>
    <sheetView tabSelected="1" workbookViewId="0">
      <selection activeCell="K15" sqref="K15"/>
    </sheetView>
  </sheetViews>
  <sheetFormatPr baseColWidth="10" defaultRowHeight="16" x14ac:dyDescent="0.2"/>
  <sheetData>
    <row r="4" spans="2:11" x14ac:dyDescent="0.2">
      <c r="B4" s="7" t="s">
        <v>117</v>
      </c>
      <c r="C4" s="7">
        <v>1</v>
      </c>
      <c r="D4" s="7">
        <v>2</v>
      </c>
      <c r="E4" s="7">
        <v>3</v>
      </c>
      <c r="F4" s="7">
        <v>4</v>
      </c>
      <c r="G4" s="7">
        <v>5</v>
      </c>
    </row>
    <row r="5" spans="2:11" x14ac:dyDescent="0.2">
      <c r="B5" t="s">
        <v>120</v>
      </c>
      <c r="C5">
        <f>SUM(Input1!M4,Input2!M4,Input3!N4,Input4!M4,Input5!M4)</f>
        <v>2</v>
      </c>
      <c r="D5">
        <f>SUM(Input1!N4,Input2!N4,Input3!O4,Input4!N4,Input5!N4)</f>
        <v>4</v>
      </c>
      <c r="E5">
        <f>SUM(Input1!O4,Input2!O4,Input3!P4,Input4!O4,Input5!O4)</f>
        <v>11</v>
      </c>
      <c r="F5">
        <f>SUM(Input1!P4,Input2!P4,Input3!Q4,Input4!P4,Input5!P4)</f>
        <v>17</v>
      </c>
      <c r="G5">
        <f>SUM(Input1!Q4,Input2!Q4,Input3!R4,Input4!Q4,Input5!Q4)</f>
        <v>12</v>
      </c>
    </row>
    <row r="6" spans="2:11" x14ac:dyDescent="0.2">
      <c r="B6" t="s">
        <v>121</v>
      </c>
      <c r="C6">
        <f>SUM(Input1!M5,Input2!M5,Input3!N5,Input4!M5,Input5!M5)</f>
        <v>1</v>
      </c>
      <c r="D6">
        <f>SUM(Input1!N5,Input2!N5,Input3!O5,Input4!N5,Input5!N5)</f>
        <v>2</v>
      </c>
      <c r="E6">
        <f>SUM(Input1!O5,Input2!O5,Input3!P5,Input4!O5,Input5!O5)</f>
        <v>9</v>
      </c>
      <c r="F6">
        <f>SUM(Input1!P5,Input2!P5,Input3!Q5,Input4!P5,Input5!P5)</f>
        <v>17</v>
      </c>
      <c r="G6">
        <f>SUM(Input1!Q5,Input2!Q5,Input3!R5,Input4!Q5,Input5!Q5)</f>
        <v>17</v>
      </c>
    </row>
    <row r="7" spans="2:11" x14ac:dyDescent="0.2">
      <c r="B7" t="s">
        <v>122</v>
      </c>
      <c r="C7">
        <f>SUM(Input1!M6,Input2!M6,Input3!N6,Input4!M6,Input5!M6)</f>
        <v>0</v>
      </c>
      <c r="D7">
        <f>SUM(Input1!N6,Input2!N6,Input3!O6,Input4!N6,Input5!N6)</f>
        <v>4</v>
      </c>
      <c r="E7">
        <f>SUM(Input1!O6,Input2!O6,Input3!P6,Input4!O6,Input5!O6)</f>
        <v>11</v>
      </c>
      <c r="F7">
        <f>SUM(Input1!P6,Input2!P6,Input3!Q6,Input4!P6,Input5!P6)</f>
        <v>18</v>
      </c>
      <c r="G7">
        <f>SUM(Input1!Q6,Input2!Q6,Input3!R6,Input4!Q6,Input5!Q6)</f>
        <v>13</v>
      </c>
    </row>
    <row r="8" spans="2:11" x14ac:dyDescent="0.2">
      <c r="B8" t="s">
        <v>123</v>
      </c>
      <c r="C8">
        <f>SUM(Input1!M7,Input2!M7,Input3!N7,Input4!M7,Input5!M7)</f>
        <v>0</v>
      </c>
      <c r="D8">
        <f>SUM(Input1!N7,Input2!N7,Input3!O7,Input4!N7,Input5!N7)</f>
        <v>2</v>
      </c>
      <c r="E8">
        <f>SUM(Input1!O7,Input2!O7,Input3!P7,Input4!O7,Input5!O7)</f>
        <v>7</v>
      </c>
      <c r="F8">
        <f>SUM(Input1!P7,Input2!P7,Input3!Q7,Input4!P7,Input5!P7)</f>
        <v>10</v>
      </c>
      <c r="G8">
        <f>SUM(Input1!Q7,Input2!Q7,Input3!R7,Input4!Q7,Input5!Q7)</f>
        <v>27</v>
      </c>
    </row>
    <row r="9" spans="2:11" x14ac:dyDescent="0.2">
      <c r="B9" t="s">
        <v>124</v>
      </c>
      <c r="C9">
        <f>SUM(Input1!M8,Input2!M8,Input3!N8,Input4!M8,Input5!M8)</f>
        <v>2</v>
      </c>
      <c r="D9">
        <f>SUM(Input1!N8,Input2!N8,Input3!O8,Input4!N8,Input5!N8)</f>
        <v>1</v>
      </c>
      <c r="E9">
        <f>SUM(Input1!O8,Input2!O8,Input3!P8,Input4!O8,Input5!O8)</f>
        <v>7</v>
      </c>
      <c r="F9">
        <f>SUM(Input1!P8,Input2!P8,Input3!Q8,Input4!P8,Input5!P8)</f>
        <v>12</v>
      </c>
      <c r="G9">
        <f>SUM(Input1!Q8,Input2!Q8,Input3!R8,Input4!Q8,Input5!Q8)</f>
        <v>24</v>
      </c>
    </row>
    <row r="10" spans="2:11" x14ac:dyDescent="0.2">
      <c r="B10" t="s">
        <v>125</v>
      </c>
      <c r="C10">
        <f>SUM(Input1!M9,Input2!M9,Input3!N9,Input4!M9,Input5!M9)</f>
        <v>0</v>
      </c>
      <c r="D10">
        <f>SUM(Input1!N9,Input2!N9,Input3!O9,Input4!N9,Input5!N9)</f>
        <v>2</v>
      </c>
      <c r="E10">
        <f>SUM(Input1!O9,Input2!O9,Input3!P9,Input4!O9,Input5!O9)</f>
        <v>19</v>
      </c>
      <c r="F10">
        <f>SUM(Input1!P9,Input2!P9,Input3!Q9,Input4!P9,Input5!P9)</f>
        <v>13</v>
      </c>
      <c r="G10">
        <f>SUM(Input1!Q9,Input2!Q9,Input3!R9,Input4!Q9,Input5!Q9)</f>
        <v>12</v>
      </c>
    </row>
    <row r="14" spans="2:11" x14ac:dyDescent="0.2">
      <c r="I14" t="s">
        <v>118</v>
      </c>
      <c r="J14" t="s">
        <v>119</v>
      </c>
      <c r="K14" t="e">
        <f>MODE(C15:G15)</f>
        <v>#N/A</v>
      </c>
    </row>
    <row r="15" spans="2:11" x14ac:dyDescent="0.2">
      <c r="C15">
        <f>C5*C$4</f>
        <v>2</v>
      </c>
      <c r="D15">
        <f t="shared" ref="D15:G15" si="0">D5*D$4</f>
        <v>8</v>
      </c>
      <c r="E15">
        <f t="shared" si="0"/>
        <v>33</v>
      </c>
      <c r="F15">
        <f t="shared" si="0"/>
        <v>68</v>
      </c>
      <c r="G15">
        <f t="shared" si="0"/>
        <v>60</v>
      </c>
      <c r="I15">
        <v>4</v>
      </c>
      <c r="J15">
        <f>SUM(C15:G15)/46</f>
        <v>3.7173913043478262</v>
      </c>
    </row>
    <row r="16" spans="2:11" x14ac:dyDescent="0.2">
      <c r="C16">
        <f t="shared" ref="C16:G16" si="1">C6*C$4</f>
        <v>1</v>
      </c>
      <c r="D16">
        <f t="shared" si="1"/>
        <v>4</v>
      </c>
      <c r="E16">
        <f t="shared" si="1"/>
        <v>27</v>
      </c>
      <c r="F16">
        <f t="shared" si="1"/>
        <v>68</v>
      </c>
      <c r="G16">
        <f t="shared" si="1"/>
        <v>85</v>
      </c>
      <c r="I16">
        <v>4</v>
      </c>
      <c r="J16">
        <f>SUM(C16:G16)/46</f>
        <v>4.0217391304347823</v>
      </c>
    </row>
    <row r="17" spans="3:10" x14ac:dyDescent="0.2">
      <c r="C17">
        <f t="shared" ref="C17:G17" si="2">C7*C$4</f>
        <v>0</v>
      </c>
      <c r="D17">
        <f t="shared" si="2"/>
        <v>8</v>
      </c>
      <c r="E17">
        <f t="shared" si="2"/>
        <v>33</v>
      </c>
      <c r="F17">
        <f t="shared" si="2"/>
        <v>72</v>
      </c>
      <c r="G17">
        <f t="shared" si="2"/>
        <v>65</v>
      </c>
      <c r="I17">
        <v>4</v>
      </c>
      <c r="J17">
        <f t="shared" ref="J17:J20" si="3">SUM(C17:G17)/46</f>
        <v>3.8695652173913042</v>
      </c>
    </row>
    <row r="18" spans="3:10" x14ac:dyDescent="0.2">
      <c r="C18">
        <f t="shared" ref="C18:G18" si="4">C8*C$4</f>
        <v>0</v>
      </c>
      <c r="D18">
        <f t="shared" si="4"/>
        <v>4</v>
      </c>
      <c r="E18">
        <f t="shared" si="4"/>
        <v>21</v>
      </c>
      <c r="F18">
        <f t="shared" si="4"/>
        <v>40</v>
      </c>
      <c r="G18">
        <f t="shared" si="4"/>
        <v>135</v>
      </c>
      <c r="I18">
        <v>5</v>
      </c>
      <c r="J18">
        <f t="shared" si="3"/>
        <v>4.3478260869565215</v>
      </c>
    </row>
    <row r="19" spans="3:10" x14ac:dyDescent="0.2">
      <c r="C19">
        <f t="shared" ref="C19:G19" si="5">C9*C$4</f>
        <v>2</v>
      </c>
      <c r="D19">
        <f t="shared" si="5"/>
        <v>2</v>
      </c>
      <c r="E19">
        <f t="shared" si="5"/>
        <v>21</v>
      </c>
      <c r="F19">
        <f t="shared" si="5"/>
        <v>48</v>
      </c>
      <c r="G19">
        <f t="shared" si="5"/>
        <v>120</v>
      </c>
      <c r="I19">
        <v>5</v>
      </c>
      <c r="J19">
        <f t="shared" si="3"/>
        <v>4.1956521739130439</v>
      </c>
    </row>
    <row r="20" spans="3:10" x14ac:dyDescent="0.2">
      <c r="C20">
        <f t="shared" ref="C20:G20" si="6">C10*C$4</f>
        <v>0</v>
      </c>
      <c r="D20">
        <f t="shared" si="6"/>
        <v>4</v>
      </c>
      <c r="E20">
        <f t="shared" si="6"/>
        <v>57</v>
      </c>
      <c r="F20">
        <f t="shared" si="6"/>
        <v>52</v>
      </c>
      <c r="G20">
        <f t="shared" si="6"/>
        <v>60</v>
      </c>
      <c r="I20">
        <v>4</v>
      </c>
      <c r="J20">
        <f t="shared" si="3"/>
        <v>3.7608695652173911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9B5E4-1996-2540-8708-F81243A07644}">
  <sheetPr codeName="Sheet1"/>
  <dimension ref="B2:R16"/>
  <sheetViews>
    <sheetView workbookViewId="0">
      <selection activeCell="G10" sqref="G10"/>
    </sheetView>
  </sheetViews>
  <sheetFormatPr baseColWidth="10" defaultRowHeight="16" x14ac:dyDescent="0.2"/>
  <cols>
    <col min="2" max="2" width="43" customWidth="1"/>
  </cols>
  <sheetData>
    <row r="2" spans="2:18" x14ac:dyDescent="0.2">
      <c r="M2" t="s">
        <v>116</v>
      </c>
    </row>
    <row r="3" spans="2:18" x14ac:dyDescent="0.2">
      <c r="C3" t="s">
        <v>21</v>
      </c>
      <c r="M3">
        <v>1</v>
      </c>
      <c r="N3">
        <v>2</v>
      </c>
      <c r="O3">
        <v>3</v>
      </c>
      <c r="P3">
        <v>4</v>
      </c>
      <c r="Q3">
        <v>5</v>
      </c>
    </row>
    <row r="4" spans="2:18" ht="34" x14ac:dyDescent="0.2">
      <c r="B4" s="5" t="s">
        <v>0</v>
      </c>
      <c r="C4">
        <v>5</v>
      </c>
      <c r="D4">
        <v>5</v>
      </c>
      <c r="E4">
        <v>3</v>
      </c>
      <c r="F4">
        <v>3</v>
      </c>
      <c r="G4">
        <v>2</v>
      </c>
      <c r="H4">
        <v>4</v>
      </c>
      <c r="I4">
        <v>5</v>
      </c>
      <c r="J4">
        <v>5</v>
      </c>
      <c r="K4">
        <v>5</v>
      </c>
      <c r="M4">
        <f>COUNTIF($C4:$K4, M$3)</f>
        <v>0</v>
      </c>
      <c r="N4">
        <f t="shared" ref="N4:Q9" si="0">COUNTIF($C4:$K4, N$3)</f>
        <v>1</v>
      </c>
      <c r="O4">
        <f t="shared" si="0"/>
        <v>2</v>
      </c>
      <c r="P4">
        <f t="shared" si="0"/>
        <v>1</v>
      </c>
      <c r="Q4">
        <f t="shared" si="0"/>
        <v>5</v>
      </c>
      <c r="R4">
        <f>SUM(M4:Q4)</f>
        <v>9</v>
      </c>
    </row>
    <row r="5" spans="2:18" ht="34" x14ac:dyDescent="0.2">
      <c r="B5" s="5" t="s">
        <v>2</v>
      </c>
      <c r="C5">
        <v>5</v>
      </c>
      <c r="D5">
        <v>5</v>
      </c>
      <c r="E5">
        <v>3</v>
      </c>
      <c r="F5">
        <v>1</v>
      </c>
      <c r="G5">
        <v>3</v>
      </c>
      <c r="H5">
        <v>5</v>
      </c>
      <c r="I5">
        <v>5</v>
      </c>
      <c r="J5">
        <v>5</v>
      </c>
      <c r="K5">
        <v>5</v>
      </c>
      <c r="M5">
        <f t="shared" ref="M5:M9" si="1">COUNTIF($C5:$K5, M$3)</f>
        <v>1</v>
      </c>
      <c r="N5">
        <f t="shared" si="0"/>
        <v>0</v>
      </c>
      <c r="O5">
        <f t="shared" si="0"/>
        <v>2</v>
      </c>
      <c r="P5">
        <f t="shared" si="0"/>
        <v>0</v>
      </c>
      <c r="Q5">
        <f t="shared" si="0"/>
        <v>6</v>
      </c>
      <c r="R5">
        <f t="shared" ref="R5:R9" si="2">SUM(M5:Q5)</f>
        <v>9</v>
      </c>
    </row>
    <row r="6" spans="2:18" ht="51" x14ac:dyDescent="0.2">
      <c r="B6" s="5" t="s">
        <v>3</v>
      </c>
      <c r="C6">
        <v>5</v>
      </c>
      <c r="D6">
        <v>5</v>
      </c>
      <c r="E6">
        <v>2</v>
      </c>
      <c r="F6">
        <v>2</v>
      </c>
      <c r="G6">
        <v>2</v>
      </c>
      <c r="H6">
        <v>4</v>
      </c>
      <c r="I6">
        <v>5</v>
      </c>
      <c r="J6">
        <v>5</v>
      </c>
      <c r="K6">
        <v>5</v>
      </c>
      <c r="M6">
        <f t="shared" si="1"/>
        <v>0</v>
      </c>
      <c r="N6">
        <f t="shared" si="0"/>
        <v>3</v>
      </c>
      <c r="O6">
        <f t="shared" si="0"/>
        <v>0</v>
      </c>
      <c r="P6">
        <f t="shared" si="0"/>
        <v>1</v>
      </c>
      <c r="Q6">
        <f t="shared" si="0"/>
        <v>5</v>
      </c>
      <c r="R6">
        <f t="shared" si="2"/>
        <v>9</v>
      </c>
    </row>
    <row r="7" spans="2:18" ht="34" x14ac:dyDescent="0.2">
      <c r="B7" s="5" t="s">
        <v>4</v>
      </c>
      <c r="C7">
        <v>5</v>
      </c>
      <c r="D7">
        <v>5</v>
      </c>
      <c r="E7">
        <v>3</v>
      </c>
      <c r="F7">
        <v>2</v>
      </c>
      <c r="G7">
        <v>3</v>
      </c>
      <c r="H7">
        <v>3</v>
      </c>
      <c r="I7">
        <v>5</v>
      </c>
      <c r="J7">
        <v>5</v>
      </c>
      <c r="K7">
        <v>5</v>
      </c>
      <c r="M7">
        <f t="shared" si="1"/>
        <v>0</v>
      </c>
      <c r="N7">
        <f t="shared" si="0"/>
        <v>1</v>
      </c>
      <c r="O7">
        <f t="shared" si="0"/>
        <v>3</v>
      </c>
      <c r="P7">
        <f t="shared" si="0"/>
        <v>0</v>
      </c>
      <c r="Q7">
        <f t="shared" si="0"/>
        <v>5</v>
      </c>
      <c r="R7">
        <f t="shared" si="2"/>
        <v>9</v>
      </c>
    </row>
    <row r="8" spans="2:18" ht="51" x14ac:dyDescent="0.2">
      <c r="B8" s="5" t="s">
        <v>5</v>
      </c>
      <c r="C8">
        <v>5</v>
      </c>
      <c r="D8">
        <v>5</v>
      </c>
      <c r="E8">
        <v>3</v>
      </c>
      <c r="F8">
        <v>1</v>
      </c>
      <c r="G8">
        <v>3</v>
      </c>
      <c r="H8">
        <v>4</v>
      </c>
      <c r="I8">
        <v>5</v>
      </c>
      <c r="J8">
        <v>5</v>
      </c>
      <c r="K8">
        <v>5</v>
      </c>
      <c r="M8">
        <f t="shared" si="1"/>
        <v>1</v>
      </c>
      <c r="N8">
        <f t="shared" si="0"/>
        <v>0</v>
      </c>
      <c r="O8">
        <f t="shared" si="0"/>
        <v>2</v>
      </c>
      <c r="P8">
        <f t="shared" si="0"/>
        <v>1</v>
      </c>
      <c r="Q8">
        <f t="shared" si="0"/>
        <v>5</v>
      </c>
      <c r="R8">
        <f t="shared" si="2"/>
        <v>9</v>
      </c>
    </row>
    <row r="9" spans="2:18" ht="17" x14ac:dyDescent="0.2">
      <c r="B9" s="5" t="s">
        <v>6</v>
      </c>
      <c r="C9">
        <v>4</v>
      </c>
      <c r="D9">
        <v>5</v>
      </c>
      <c r="E9">
        <v>3</v>
      </c>
      <c r="F9">
        <v>2</v>
      </c>
      <c r="G9">
        <v>3</v>
      </c>
      <c r="H9">
        <v>4</v>
      </c>
      <c r="I9">
        <v>5</v>
      </c>
      <c r="J9">
        <v>5</v>
      </c>
      <c r="K9">
        <v>5</v>
      </c>
      <c r="M9">
        <f t="shared" si="1"/>
        <v>0</v>
      </c>
      <c r="N9">
        <f t="shared" si="0"/>
        <v>1</v>
      </c>
      <c r="O9">
        <f t="shared" si="0"/>
        <v>2</v>
      </c>
      <c r="P9">
        <f t="shared" si="0"/>
        <v>2</v>
      </c>
      <c r="Q9">
        <f t="shared" si="0"/>
        <v>4</v>
      </c>
      <c r="R9">
        <f t="shared" si="2"/>
        <v>9</v>
      </c>
    </row>
    <row r="10" spans="2:18" ht="409.6" x14ac:dyDescent="0.2">
      <c r="B10" s="5" t="s">
        <v>1</v>
      </c>
      <c r="C10" s="5" t="s">
        <v>23</v>
      </c>
      <c r="E10" t="s">
        <v>63</v>
      </c>
      <c r="F10" s="5" t="s">
        <v>70</v>
      </c>
      <c r="G10" s="5" t="s">
        <v>74</v>
      </c>
      <c r="K10" s="5" t="s">
        <v>99</v>
      </c>
      <c r="L10" t="s">
        <v>106</v>
      </c>
    </row>
    <row r="11" spans="2:18" ht="323" x14ac:dyDescent="0.2">
      <c r="B11" s="5" t="s">
        <v>26</v>
      </c>
      <c r="D11" s="5" t="s">
        <v>56</v>
      </c>
      <c r="J11" t="s">
        <v>89</v>
      </c>
    </row>
    <row r="12" spans="2:18" ht="323" x14ac:dyDescent="0.2">
      <c r="B12" s="5" t="s">
        <v>30</v>
      </c>
      <c r="D12" s="5" t="s">
        <v>57</v>
      </c>
      <c r="J12" s="5" t="s">
        <v>90</v>
      </c>
    </row>
    <row r="13" spans="2:18" ht="17" x14ac:dyDescent="0.2">
      <c r="B13" s="5" t="s">
        <v>27</v>
      </c>
      <c r="D13" t="s">
        <v>58</v>
      </c>
      <c r="J13" t="s">
        <v>91</v>
      </c>
    </row>
    <row r="14" spans="2:18" ht="306" x14ac:dyDescent="0.2">
      <c r="B14" s="5" t="s">
        <v>28</v>
      </c>
      <c r="D14" s="5" t="s">
        <v>59</v>
      </c>
      <c r="J14" t="s">
        <v>92</v>
      </c>
    </row>
    <row r="15" spans="2:18" ht="409.6" x14ac:dyDescent="0.2">
      <c r="B15" s="5" t="s">
        <v>29</v>
      </c>
      <c r="D15" s="5" t="s">
        <v>60</v>
      </c>
      <c r="J15" t="s">
        <v>93</v>
      </c>
    </row>
    <row r="16" spans="2:18" ht="388" x14ac:dyDescent="0.2">
      <c r="B16" s="5" t="s">
        <v>31</v>
      </c>
      <c r="D16" s="5" t="s">
        <v>61</v>
      </c>
      <c r="J16" t="s">
        <v>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99C02-DF1D-454E-88BC-413B84767101}">
  <sheetPr codeName="Sheet2"/>
  <dimension ref="B2:R16"/>
  <sheetViews>
    <sheetView topLeftCell="C1" zoomScale="75" workbookViewId="0">
      <selection activeCell="Q10" sqref="Q10"/>
    </sheetView>
  </sheetViews>
  <sheetFormatPr baseColWidth="10" defaultRowHeight="16" x14ac:dyDescent="0.2"/>
  <cols>
    <col min="2" max="2" width="43" customWidth="1"/>
  </cols>
  <sheetData>
    <row r="2" spans="2:18" x14ac:dyDescent="0.2">
      <c r="M2" t="s">
        <v>116</v>
      </c>
    </row>
    <row r="3" spans="2:18" x14ac:dyDescent="0.2">
      <c r="C3" t="s">
        <v>21</v>
      </c>
      <c r="M3">
        <v>1</v>
      </c>
      <c r="N3">
        <v>2</v>
      </c>
      <c r="O3">
        <v>3</v>
      </c>
      <c r="P3">
        <v>4</v>
      </c>
      <c r="Q3">
        <v>5</v>
      </c>
    </row>
    <row r="4" spans="2:18" ht="34" x14ac:dyDescent="0.2">
      <c r="B4" s="5" t="s">
        <v>0</v>
      </c>
      <c r="C4">
        <v>3</v>
      </c>
      <c r="D4">
        <v>3</v>
      </c>
      <c r="E4">
        <v>4</v>
      </c>
      <c r="F4">
        <v>3</v>
      </c>
      <c r="G4">
        <v>3</v>
      </c>
      <c r="H4">
        <v>4</v>
      </c>
      <c r="I4">
        <v>5</v>
      </c>
      <c r="J4">
        <v>1</v>
      </c>
      <c r="K4">
        <v>2</v>
      </c>
      <c r="M4">
        <f>COUNTIF($C4:$K4, M$3)</f>
        <v>1</v>
      </c>
      <c r="N4">
        <f t="shared" ref="N4:Q9" si="0">COUNTIF($C4:$K4, N$3)</f>
        <v>1</v>
      </c>
      <c r="O4">
        <f t="shared" si="0"/>
        <v>4</v>
      </c>
      <c r="P4">
        <f t="shared" si="0"/>
        <v>2</v>
      </c>
      <c r="Q4">
        <f t="shared" si="0"/>
        <v>1</v>
      </c>
      <c r="R4">
        <f>SUM(M4:Q4)</f>
        <v>9</v>
      </c>
    </row>
    <row r="5" spans="2:18" ht="34" x14ac:dyDescent="0.2">
      <c r="B5" s="5" t="s">
        <v>2</v>
      </c>
      <c r="C5">
        <v>4</v>
      </c>
      <c r="D5">
        <v>4</v>
      </c>
      <c r="E5">
        <v>4</v>
      </c>
      <c r="F5">
        <v>3</v>
      </c>
      <c r="G5">
        <v>2</v>
      </c>
      <c r="H5">
        <v>3</v>
      </c>
      <c r="I5">
        <v>4</v>
      </c>
      <c r="J5">
        <v>2</v>
      </c>
      <c r="K5">
        <v>4</v>
      </c>
      <c r="M5">
        <f t="shared" ref="M5:M9" si="1">COUNTIF($C5:$K5, M$3)</f>
        <v>0</v>
      </c>
      <c r="N5">
        <f t="shared" si="0"/>
        <v>2</v>
      </c>
      <c r="O5">
        <f t="shared" si="0"/>
        <v>2</v>
      </c>
      <c r="P5">
        <f t="shared" si="0"/>
        <v>5</v>
      </c>
      <c r="Q5">
        <f t="shared" si="0"/>
        <v>0</v>
      </c>
      <c r="R5">
        <f t="shared" ref="R5:R9" si="2">SUM(M5:Q5)</f>
        <v>9</v>
      </c>
    </row>
    <row r="6" spans="2:18" ht="51" x14ac:dyDescent="0.2">
      <c r="B6" s="5" t="s">
        <v>3</v>
      </c>
      <c r="C6">
        <v>4</v>
      </c>
      <c r="D6">
        <v>5</v>
      </c>
      <c r="E6">
        <v>4</v>
      </c>
      <c r="F6">
        <v>3</v>
      </c>
      <c r="G6">
        <v>3</v>
      </c>
      <c r="H6">
        <v>4</v>
      </c>
      <c r="I6">
        <v>4</v>
      </c>
      <c r="J6">
        <v>4</v>
      </c>
      <c r="K6">
        <v>3</v>
      </c>
      <c r="M6">
        <f t="shared" si="1"/>
        <v>0</v>
      </c>
      <c r="N6">
        <f t="shared" si="0"/>
        <v>0</v>
      </c>
      <c r="O6">
        <f t="shared" si="0"/>
        <v>3</v>
      </c>
      <c r="P6">
        <f t="shared" si="0"/>
        <v>5</v>
      </c>
      <c r="Q6">
        <f t="shared" si="0"/>
        <v>1</v>
      </c>
      <c r="R6">
        <f t="shared" si="2"/>
        <v>9</v>
      </c>
    </row>
    <row r="7" spans="2:18" ht="34" x14ac:dyDescent="0.2">
      <c r="B7" s="5" t="s">
        <v>4</v>
      </c>
      <c r="C7">
        <v>4</v>
      </c>
      <c r="D7">
        <v>5</v>
      </c>
      <c r="E7">
        <v>4</v>
      </c>
      <c r="F7">
        <v>3</v>
      </c>
      <c r="G7">
        <v>3</v>
      </c>
      <c r="H7">
        <v>2</v>
      </c>
      <c r="I7">
        <v>5</v>
      </c>
      <c r="J7">
        <v>5</v>
      </c>
      <c r="K7">
        <v>5</v>
      </c>
      <c r="M7">
        <f t="shared" si="1"/>
        <v>0</v>
      </c>
      <c r="N7">
        <f t="shared" si="0"/>
        <v>1</v>
      </c>
      <c r="O7">
        <f t="shared" si="0"/>
        <v>2</v>
      </c>
      <c r="P7">
        <f t="shared" si="0"/>
        <v>2</v>
      </c>
      <c r="Q7">
        <f t="shared" si="0"/>
        <v>4</v>
      </c>
      <c r="R7">
        <f t="shared" si="2"/>
        <v>9</v>
      </c>
    </row>
    <row r="8" spans="2:18" ht="51" x14ac:dyDescent="0.2">
      <c r="B8" s="5" t="s">
        <v>5</v>
      </c>
      <c r="C8">
        <v>5</v>
      </c>
      <c r="D8">
        <v>3</v>
      </c>
      <c r="E8">
        <v>4</v>
      </c>
      <c r="F8">
        <v>3</v>
      </c>
      <c r="G8">
        <v>5</v>
      </c>
      <c r="H8">
        <v>4</v>
      </c>
      <c r="I8">
        <v>5</v>
      </c>
      <c r="J8">
        <v>1</v>
      </c>
      <c r="K8">
        <v>3</v>
      </c>
      <c r="M8">
        <f t="shared" si="1"/>
        <v>1</v>
      </c>
      <c r="N8">
        <f t="shared" si="0"/>
        <v>0</v>
      </c>
      <c r="O8">
        <f t="shared" si="0"/>
        <v>3</v>
      </c>
      <c r="P8">
        <f t="shared" si="0"/>
        <v>2</v>
      </c>
      <c r="Q8">
        <f t="shared" si="0"/>
        <v>3</v>
      </c>
      <c r="R8">
        <f t="shared" si="2"/>
        <v>9</v>
      </c>
    </row>
    <row r="9" spans="2:18" ht="17" x14ac:dyDescent="0.2">
      <c r="B9" s="5" t="s">
        <v>6</v>
      </c>
      <c r="C9">
        <v>3</v>
      </c>
      <c r="D9">
        <v>4</v>
      </c>
      <c r="E9">
        <v>3</v>
      </c>
      <c r="F9">
        <v>3</v>
      </c>
      <c r="G9">
        <v>4</v>
      </c>
      <c r="H9">
        <v>3</v>
      </c>
      <c r="I9">
        <v>5</v>
      </c>
      <c r="J9">
        <v>2</v>
      </c>
      <c r="K9">
        <v>3</v>
      </c>
      <c r="M9">
        <f t="shared" si="1"/>
        <v>0</v>
      </c>
      <c r="N9">
        <f t="shared" si="0"/>
        <v>1</v>
      </c>
      <c r="O9">
        <f t="shared" si="0"/>
        <v>5</v>
      </c>
      <c r="P9">
        <f t="shared" si="0"/>
        <v>2</v>
      </c>
      <c r="Q9">
        <f t="shared" si="0"/>
        <v>1</v>
      </c>
      <c r="R9">
        <f t="shared" si="2"/>
        <v>9</v>
      </c>
    </row>
    <row r="10" spans="2:18" ht="409.6" x14ac:dyDescent="0.2">
      <c r="B10" s="5" t="s">
        <v>1</v>
      </c>
      <c r="C10" s="5" t="s">
        <v>22</v>
      </c>
      <c r="E10" s="5" t="s">
        <v>66</v>
      </c>
      <c r="F10" t="s">
        <v>69</v>
      </c>
      <c r="G10" s="5" t="s">
        <v>75</v>
      </c>
      <c r="K10" s="5" t="s">
        <v>100</v>
      </c>
      <c r="L10" s="5" t="s">
        <v>108</v>
      </c>
    </row>
    <row r="11" spans="2:18" ht="409.6" x14ac:dyDescent="0.2">
      <c r="B11" s="5" t="s">
        <v>26</v>
      </c>
      <c r="D11" s="5" t="s">
        <v>50</v>
      </c>
      <c r="J11" s="5" t="s">
        <v>84</v>
      </c>
    </row>
    <row r="12" spans="2:18" ht="409.6" x14ac:dyDescent="0.2">
      <c r="B12" s="5" t="s">
        <v>30</v>
      </c>
      <c r="D12" s="5" t="s">
        <v>51</v>
      </c>
      <c r="J12" s="5" t="s">
        <v>85</v>
      </c>
    </row>
    <row r="13" spans="2:18" ht="409.6" x14ac:dyDescent="0.2">
      <c r="B13" s="5" t="s">
        <v>27</v>
      </c>
      <c r="D13" s="5" t="s">
        <v>52</v>
      </c>
      <c r="J13" s="5" t="s">
        <v>86</v>
      </c>
    </row>
    <row r="14" spans="2:18" ht="409.6" x14ac:dyDescent="0.2">
      <c r="B14" s="5" t="s">
        <v>28</v>
      </c>
      <c r="D14" s="5" t="s">
        <v>53</v>
      </c>
      <c r="J14" s="5" t="s">
        <v>87</v>
      </c>
    </row>
    <row r="15" spans="2:18" ht="409.6" x14ac:dyDescent="0.2">
      <c r="B15" s="5" t="s">
        <v>29</v>
      </c>
      <c r="D15" s="5" t="s">
        <v>54</v>
      </c>
      <c r="J15" s="5" t="s">
        <v>88</v>
      </c>
    </row>
    <row r="16" spans="2:18" ht="409.6" x14ac:dyDescent="0.2">
      <c r="B16" s="5" t="s">
        <v>31</v>
      </c>
      <c r="D16" s="5" t="s">
        <v>55</v>
      </c>
      <c r="J16" s="5" t="s">
        <v>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BFAF4-C243-1049-BB80-BDEC7C275D3B}">
  <sheetPr codeName="Sheet6"/>
  <dimension ref="B2:S16"/>
  <sheetViews>
    <sheetView topLeftCell="J1" zoomScale="109" workbookViewId="0">
      <selection activeCell="S4" sqref="S4:S9"/>
    </sheetView>
  </sheetViews>
  <sheetFormatPr baseColWidth="10" defaultRowHeight="16" x14ac:dyDescent="0.2"/>
  <cols>
    <col min="2" max="2" width="43" customWidth="1"/>
  </cols>
  <sheetData>
    <row r="2" spans="2:19" x14ac:dyDescent="0.2">
      <c r="N2" t="s">
        <v>116</v>
      </c>
    </row>
    <row r="3" spans="2:19" x14ac:dyDescent="0.2">
      <c r="C3" t="s">
        <v>21</v>
      </c>
      <c r="N3">
        <v>1</v>
      </c>
      <c r="O3">
        <v>2</v>
      </c>
      <c r="P3">
        <v>3</v>
      </c>
      <c r="Q3">
        <v>4</v>
      </c>
      <c r="R3">
        <v>5</v>
      </c>
    </row>
    <row r="4" spans="2:19" ht="34" x14ac:dyDescent="0.2">
      <c r="B4" s="5" t="s">
        <v>0</v>
      </c>
      <c r="C4">
        <v>4</v>
      </c>
      <c r="D4">
        <v>4</v>
      </c>
      <c r="E4">
        <v>4</v>
      </c>
      <c r="F4">
        <v>4</v>
      </c>
      <c r="G4">
        <v>3</v>
      </c>
      <c r="H4">
        <v>4</v>
      </c>
      <c r="I4">
        <v>4</v>
      </c>
      <c r="J4">
        <v>5</v>
      </c>
      <c r="K4">
        <v>1</v>
      </c>
      <c r="L4">
        <v>2</v>
      </c>
      <c r="N4">
        <f>COUNTIF($C4:$L4, N$3)</f>
        <v>1</v>
      </c>
      <c r="O4">
        <f t="shared" ref="O4:R9" si="0">COUNTIF($C4:$L4, O$3)</f>
        <v>1</v>
      </c>
      <c r="P4">
        <f t="shared" si="0"/>
        <v>1</v>
      </c>
      <c r="Q4">
        <f t="shared" si="0"/>
        <v>6</v>
      </c>
      <c r="R4">
        <f t="shared" si="0"/>
        <v>1</v>
      </c>
      <c r="S4">
        <f>SUM(N4:R4)</f>
        <v>10</v>
      </c>
    </row>
    <row r="5" spans="2:19" ht="34" x14ac:dyDescent="0.2">
      <c r="B5" s="5" t="s">
        <v>2</v>
      </c>
      <c r="C5">
        <v>4</v>
      </c>
      <c r="D5">
        <v>5</v>
      </c>
      <c r="E5">
        <v>4</v>
      </c>
      <c r="F5">
        <v>4</v>
      </c>
      <c r="G5">
        <v>3</v>
      </c>
      <c r="H5">
        <v>3</v>
      </c>
      <c r="I5">
        <v>4</v>
      </c>
      <c r="J5">
        <v>5</v>
      </c>
      <c r="K5">
        <v>4</v>
      </c>
      <c r="L5">
        <v>4</v>
      </c>
      <c r="N5">
        <f t="shared" ref="N5:N9" si="1">COUNTIF($C5:$L5, N$3)</f>
        <v>0</v>
      </c>
      <c r="O5">
        <f t="shared" si="0"/>
        <v>0</v>
      </c>
      <c r="P5">
        <f t="shared" si="0"/>
        <v>2</v>
      </c>
      <c r="Q5">
        <f t="shared" si="0"/>
        <v>6</v>
      </c>
      <c r="R5">
        <f t="shared" si="0"/>
        <v>2</v>
      </c>
      <c r="S5">
        <f t="shared" ref="S5:S9" si="2">SUM(N5:R5)</f>
        <v>10</v>
      </c>
    </row>
    <row r="6" spans="2:19" ht="51" x14ac:dyDescent="0.2">
      <c r="B6" s="5" t="s">
        <v>3</v>
      </c>
      <c r="C6">
        <v>4</v>
      </c>
      <c r="D6">
        <v>4</v>
      </c>
      <c r="E6">
        <v>3</v>
      </c>
      <c r="F6">
        <v>3</v>
      </c>
      <c r="G6">
        <v>3</v>
      </c>
      <c r="H6">
        <v>3</v>
      </c>
      <c r="I6">
        <v>5</v>
      </c>
      <c r="J6">
        <v>4</v>
      </c>
      <c r="K6">
        <v>4</v>
      </c>
      <c r="L6">
        <v>3</v>
      </c>
      <c r="N6">
        <f t="shared" si="1"/>
        <v>0</v>
      </c>
      <c r="O6">
        <f t="shared" si="0"/>
        <v>0</v>
      </c>
      <c r="P6">
        <f t="shared" si="0"/>
        <v>5</v>
      </c>
      <c r="Q6">
        <f t="shared" si="0"/>
        <v>4</v>
      </c>
      <c r="R6">
        <f t="shared" si="0"/>
        <v>1</v>
      </c>
      <c r="S6">
        <f t="shared" si="2"/>
        <v>10</v>
      </c>
    </row>
    <row r="7" spans="2:19" ht="34" x14ac:dyDescent="0.2">
      <c r="B7" s="5" t="s">
        <v>4</v>
      </c>
      <c r="C7">
        <v>5</v>
      </c>
      <c r="D7">
        <v>3</v>
      </c>
      <c r="E7">
        <v>4</v>
      </c>
      <c r="F7">
        <v>4</v>
      </c>
      <c r="G7">
        <v>3</v>
      </c>
      <c r="H7">
        <v>4</v>
      </c>
      <c r="I7">
        <v>4</v>
      </c>
      <c r="J7">
        <v>5</v>
      </c>
      <c r="K7">
        <v>5</v>
      </c>
      <c r="L7">
        <v>5</v>
      </c>
      <c r="N7">
        <f t="shared" si="1"/>
        <v>0</v>
      </c>
      <c r="O7">
        <f t="shared" si="0"/>
        <v>0</v>
      </c>
      <c r="P7">
        <f t="shared" si="0"/>
        <v>2</v>
      </c>
      <c r="Q7">
        <f t="shared" si="0"/>
        <v>4</v>
      </c>
      <c r="R7">
        <f t="shared" si="0"/>
        <v>4</v>
      </c>
      <c r="S7">
        <f t="shared" si="2"/>
        <v>10</v>
      </c>
    </row>
    <row r="8" spans="2:19" ht="51" x14ac:dyDescent="0.2">
      <c r="B8" s="5" t="s">
        <v>5</v>
      </c>
      <c r="C8">
        <v>5</v>
      </c>
      <c r="D8">
        <v>5</v>
      </c>
      <c r="E8">
        <v>4</v>
      </c>
      <c r="F8">
        <v>4</v>
      </c>
      <c r="G8">
        <v>3</v>
      </c>
      <c r="H8">
        <v>4</v>
      </c>
      <c r="I8">
        <v>5</v>
      </c>
      <c r="J8">
        <v>5</v>
      </c>
      <c r="K8">
        <v>2</v>
      </c>
      <c r="L8">
        <v>4</v>
      </c>
      <c r="N8">
        <f t="shared" si="1"/>
        <v>0</v>
      </c>
      <c r="O8">
        <f t="shared" si="0"/>
        <v>1</v>
      </c>
      <c r="P8">
        <f t="shared" si="0"/>
        <v>1</v>
      </c>
      <c r="Q8">
        <f t="shared" si="0"/>
        <v>4</v>
      </c>
      <c r="R8">
        <f t="shared" si="0"/>
        <v>4</v>
      </c>
      <c r="S8">
        <f t="shared" si="2"/>
        <v>10</v>
      </c>
    </row>
    <row r="9" spans="2:19" ht="17" x14ac:dyDescent="0.2">
      <c r="B9" s="5" t="s">
        <v>6</v>
      </c>
      <c r="C9">
        <v>3</v>
      </c>
      <c r="D9">
        <v>3</v>
      </c>
      <c r="E9">
        <v>3</v>
      </c>
      <c r="F9">
        <v>3</v>
      </c>
      <c r="G9">
        <v>3</v>
      </c>
      <c r="H9">
        <v>4</v>
      </c>
      <c r="I9">
        <v>5</v>
      </c>
      <c r="J9">
        <v>5</v>
      </c>
      <c r="K9">
        <v>3</v>
      </c>
      <c r="L9">
        <v>3</v>
      </c>
      <c r="N9">
        <f t="shared" si="1"/>
        <v>0</v>
      </c>
      <c r="O9">
        <f t="shared" si="0"/>
        <v>0</v>
      </c>
      <c r="P9">
        <f t="shared" si="0"/>
        <v>7</v>
      </c>
      <c r="Q9">
        <f t="shared" si="0"/>
        <v>1</v>
      </c>
      <c r="R9">
        <f t="shared" si="0"/>
        <v>2</v>
      </c>
      <c r="S9">
        <f t="shared" si="2"/>
        <v>10</v>
      </c>
    </row>
    <row r="10" spans="2:19" ht="409.6" x14ac:dyDescent="0.2">
      <c r="B10" s="5" t="s">
        <v>1</v>
      </c>
      <c r="C10" s="5" t="s">
        <v>24</v>
      </c>
      <c r="E10" s="5" t="s">
        <v>62</v>
      </c>
      <c r="F10" s="6" t="s">
        <v>68</v>
      </c>
      <c r="G10" s="6" t="s">
        <v>71</v>
      </c>
      <c r="H10" s="5" t="s">
        <v>76</v>
      </c>
      <c r="L10" s="5" t="s">
        <v>101</v>
      </c>
      <c r="M10" t="s">
        <v>111</v>
      </c>
      <c r="N10" t="s">
        <v>112</v>
      </c>
    </row>
    <row r="11" spans="2:19" ht="409.6" x14ac:dyDescent="0.2">
      <c r="B11" s="5" t="s">
        <v>26</v>
      </c>
      <c r="D11" s="5" t="s">
        <v>32</v>
      </c>
      <c r="K11" s="5" t="s">
        <v>95</v>
      </c>
    </row>
    <row r="12" spans="2:19" ht="409.6" x14ac:dyDescent="0.2">
      <c r="B12" s="5" t="s">
        <v>30</v>
      </c>
      <c r="D12" s="5" t="s">
        <v>33</v>
      </c>
      <c r="K12" s="5" t="s">
        <v>96</v>
      </c>
    </row>
    <row r="13" spans="2:19" ht="409.6" x14ac:dyDescent="0.2">
      <c r="B13" s="5" t="s">
        <v>27</v>
      </c>
      <c r="D13" s="4" t="s">
        <v>34</v>
      </c>
      <c r="K13" t="s">
        <v>97</v>
      </c>
    </row>
    <row r="14" spans="2:19" ht="409.6" x14ac:dyDescent="0.2">
      <c r="B14" s="5" t="s">
        <v>28</v>
      </c>
      <c r="D14" s="5" t="s">
        <v>35</v>
      </c>
      <c r="K14" t="s">
        <v>81</v>
      </c>
    </row>
    <row r="15" spans="2:19" ht="372" x14ac:dyDescent="0.2">
      <c r="B15" s="5" t="s">
        <v>29</v>
      </c>
      <c r="D15" s="5" t="s">
        <v>36</v>
      </c>
      <c r="K15" s="5" t="s">
        <v>98</v>
      </c>
    </row>
    <row r="16" spans="2:19" ht="409.6" x14ac:dyDescent="0.2">
      <c r="B16" s="5" t="s">
        <v>31</v>
      </c>
      <c r="D16" s="5" t="s">
        <v>37</v>
      </c>
      <c r="K16" s="5" t="s">
        <v>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ABBC3-1FFA-9047-88A7-4C33B18B6157}">
  <sheetPr codeName="Sheet7"/>
  <dimension ref="B2:R16"/>
  <sheetViews>
    <sheetView topLeftCell="G1" workbookViewId="0">
      <selection activeCell="E10" sqref="E10"/>
    </sheetView>
  </sheetViews>
  <sheetFormatPr baseColWidth="10" defaultRowHeight="16" x14ac:dyDescent="0.2"/>
  <cols>
    <col min="2" max="2" width="43" customWidth="1"/>
  </cols>
  <sheetData>
    <row r="2" spans="2:18" x14ac:dyDescent="0.2">
      <c r="M2" t="s">
        <v>116</v>
      </c>
    </row>
    <row r="3" spans="2:18" x14ac:dyDescent="0.2">
      <c r="C3" t="s">
        <v>21</v>
      </c>
      <c r="M3">
        <v>1</v>
      </c>
      <c r="N3">
        <v>2</v>
      </c>
      <c r="O3">
        <v>3</v>
      </c>
      <c r="P3">
        <v>4</v>
      </c>
      <c r="Q3">
        <v>5</v>
      </c>
    </row>
    <row r="4" spans="2:18" ht="34" x14ac:dyDescent="0.2">
      <c r="B4" s="5" t="s">
        <v>0</v>
      </c>
      <c r="C4">
        <v>3</v>
      </c>
      <c r="D4">
        <v>5</v>
      </c>
      <c r="E4">
        <v>4</v>
      </c>
      <c r="F4">
        <v>4</v>
      </c>
      <c r="G4">
        <v>4</v>
      </c>
      <c r="H4">
        <v>4</v>
      </c>
      <c r="I4">
        <v>5</v>
      </c>
      <c r="J4">
        <v>4</v>
      </c>
      <c r="K4">
        <v>5</v>
      </c>
      <c r="M4">
        <f>COUNTIF($C4:$K4, M$3)</f>
        <v>0</v>
      </c>
      <c r="N4">
        <f t="shared" ref="N4:Q9" si="0">COUNTIF($C4:$K4, N$3)</f>
        <v>0</v>
      </c>
      <c r="O4">
        <f t="shared" si="0"/>
        <v>1</v>
      </c>
      <c r="P4">
        <f t="shared" si="0"/>
        <v>5</v>
      </c>
      <c r="Q4">
        <f t="shared" si="0"/>
        <v>3</v>
      </c>
      <c r="R4">
        <f>SUM(M4:Q4)</f>
        <v>9</v>
      </c>
    </row>
    <row r="5" spans="2:18" ht="34" x14ac:dyDescent="0.2">
      <c r="B5" s="5" t="s">
        <v>2</v>
      </c>
      <c r="C5">
        <v>4</v>
      </c>
      <c r="D5">
        <v>5</v>
      </c>
      <c r="E5">
        <v>4</v>
      </c>
      <c r="F5">
        <v>5</v>
      </c>
      <c r="G5">
        <v>5</v>
      </c>
      <c r="H5">
        <v>5</v>
      </c>
      <c r="I5">
        <v>5</v>
      </c>
      <c r="J5">
        <v>3</v>
      </c>
      <c r="K5">
        <v>5</v>
      </c>
      <c r="M5">
        <f t="shared" ref="M5:M9" si="1">COUNTIF($C5:$K5, M$3)</f>
        <v>0</v>
      </c>
      <c r="N5">
        <f t="shared" si="0"/>
        <v>0</v>
      </c>
      <c r="O5">
        <f t="shared" si="0"/>
        <v>1</v>
      </c>
      <c r="P5">
        <f t="shared" si="0"/>
        <v>2</v>
      </c>
      <c r="Q5">
        <f t="shared" si="0"/>
        <v>6</v>
      </c>
      <c r="R5">
        <f t="shared" ref="R5:R9" si="2">SUM(M5:Q5)</f>
        <v>9</v>
      </c>
    </row>
    <row r="6" spans="2:18" ht="51" x14ac:dyDescent="0.2">
      <c r="B6" s="5" t="s">
        <v>3</v>
      </c>
      <c r="C6">
        <v>3</v>
      </c>
      <c r="D6">
        <v>5</v>
      </c>
      <c r="E6">
        <v>3</v>
      </c>
      <c r="F6">
        <v>4</v>
      </c>
      <c r="G6">
        <v>4</v>
      </c>
      <c r="H6">
        <v>5</v>
      </c>
      <c r="I6">
        <v>4</v>
      </c>
      <c r="J6">
        <v>5</v>
      </c>
      <c r="K6">
        <v>5</v>
      </c>
      <c r="M6">
        <f t="shared" si="1"/>
        <v>0</v>
      </c>
      <c r="N6">
        <f t="shared" si="0"/>
        <v>0</v>
      </c>
      <c r="O6">
        <f t="shared" si="0"/>
        <v>2</v>
      </c>
      <c r="P6">
        <f t="shared" si="0"/>
        <v>3</v>
      </c>
      <c r="Q6">
        <f t="shared" si="0"/>
        <v>4</v>
      </c>
      <c r="R6">
        <f t="shared" si="2"/>
        <v>9</v>
      </c>
    </row>
    <row r="7" spans="2:18" ht="34" x14ac:dyDescent="0.2">
      <c r="B7" s="5" t="s">
        <v>4</v>
      </c>
      <c r="C7">
        <v>5</v>
      </c>
      <c r="D7">
        <v>5</v>
      </c>
      <c r="E7">
        <v>4</v>
      </c>
      <c r="F7">
        <v>5</v>
      </c>
      <c r="G7">
        <v>5</v>
      </c>
      <c r="H7">
        <v>5</v>
      </c>
      <c r="I7">
        <v>5</v>
      </c>
      <c r="J7">
        <v>5</v>
      </c>
      <c r="K7">
        <v>5</v>
      </c>
      <c r="M7">
        <f t="shared" si="1"/>
        <v>0</v>
      </c>
      <c r="N7">
        <f t="shared" si="0"/>
        <v>0</v>
      </c>
      <c r="O7">
        <f t="shared" si="0"/>
        <v>0</v>
      </c>
      <c r="P7">
        <f t="shared" si="0"/>
        <v>1</v>
      </c>
      <c r="Q7">
        <f t="shared" si="0"/>
        <v>8</v>
      </c>
      <c r="R7">
        <f t="shared" si="2"/>
        <v>9</v>
      </c>
    </row>
    <row r="8" spans="2:18" ht="51" x14ac:dyDescent="0.2">
      <c r="B8" s="5" t="s">
        <v>5</v>
      </c>
      <c r="C8">
        <v>5</v>
      </c>
      <c r="D8">
        <v>5</v>
      </c>
      <c r="E8">
        <v>4</v>
      </c>
      <c r="F8">
        <v>4</v>
      </c>
      <c r="G8">
        <v>5</v>
      </c>
      <c r="H8">
        <v>4</v>
      </c>
      <c r="I8">
        <v>5</v>
      </c>
      <c r="J8">
        <v>5</v>
      </c>
      <c r="K8">
        <v>5</v>
      </c>
      <c r="M8">
        <f t="shared" si="1"/>
        <v>0</v>
      </c>
      <c r="N8">
        <f t="shared" si="0"/>
        <v>0</v>
      </c>
      <c r="O8">
        <f t="shared" si="0"/>
        <v>0</v>
      </c>
      <c r="P8">
        <f t="shared" si="0"/>
        <v>3</v>
      </c>
      <c r="Q8">
        <f t="shared" si="0"/>
        <v>6</v>
      </c>
      <c r="R8">
        <f t="shared" si="2"/>
        <v>9</v>
      </c>
    </row>
    <row r="9" spans="2:18" ht="17" x14ac:dyDescent="0.2">
      <c r="B9" s="5" t="s">
        <v>6</v>
      </c>
      <c r="C9">
        <v>3</v>
      </c>
      <c r="D9">
        <v>4</v>
      </c>
      <c r="E9">
        <v>3</v>
      </c>
      <c r="F9">
        <v>4</v>
      </c>
      <c r="G9">
        <v>5</v>
      </c>
      <c r="H9">
        <v>4</v>
      </c>
      <c r="I9">
        <v>5</v>
      </c>
      <c r="J9">
        <v>4</v>
      </c>
      <c r="K9">
        <v>5</v>
      </c>
      <c r="M9">
        <f t="shared" si="1"/>
        <v>0</v>
      </c>
      <c r="N9">
        <f t="shared" si="0"/>
        <v>0</v>
      </c>
      <c r="O9">
        <f t="shared" si="0"/>
        <v>2</v>
      </c>
      <c r="P9">
        <f t="shared" si="0"/>
        <v>4</v>
      </c>
      <c r="Q9">
        <f t="shared" si="0"/>
        <v>3</v>
      </c>
      <c r="R9">
        <f t="shared" si="2"/>
        <v>9</v>
      </c>
    </row>
    <row r="10" spans="2:18" ht="409.6" x14ac:dyDescent="0.2">
      <c r="B10" s="5" t="s">
        <v>1</v>
      </c>
      <c r="C10" s="4" t="s">
        <v>25</v>
      </c>
      <c r="E10" s="5" t="s">
        <v>65</v>
      </c>
      <c r="F10" s="5" t="s">
        <v>72</v>
      </c>
      <c r="G10" s="5" t="s">
        <v>73</v>
      </c>
      <c r="J10" s="5" t="s">
        <v>102</v>
      </c>
      <c r="K10" s="5" t="s">
        <v>109</v>
      </c>
      <c r="L10" s="5" t="s">
        <v>110</v>
      </c>
      <c r="M10" s="5" t="s">
        <v>114</v>
      </c>
    </row>
    <row r="11" spans="2:18" ht="409.5" x14ac:dyDescent="0.2">
      <c r="B11" s="5" t="s">
        <v>26</v>
      </c>
      <c r="D11" s="5" t="s">
        <v>44</v>
      </c>
    </row>
    <row r="12" spans="2:18" ht="17" x14ac:dyDescent="0.2">
      <c r="B12" s="5" t="s">
        <v>30</v>
      </c>
      <c r="D12" t="s">
        <v>45</v>
      </c>
    </row>
    <row r="13" spans="2:18" ht="409.6" x14ac:dyDescent="0.2">
      <c r="B13" s="5" t="s">
        <v>27</v>
      </c>
      <c r="D13" s="5" t="s">
        <v>46</v>
      </c>
    </row>
    <row r="14" spans="2:18" ht="388" x14ac:dyDescent="0.2">
      <c r="B14" s="5" t="s">
        <v>28</v>
      </c>
      <c r="D14" s="5" t="s">
        <v>47</v>
      </c>
    </row>
    <row r="15" spans="2:18" ht="409.6" x14ac:dyDescent="0.2">
      <c r="B15" s="5" t="s">
        <v>29</v>
      </c>
      <c r="D15" s="5" t="s">
        <v>48</v>
      </c>
    </row>
    <row r="16" spans="2:18" ht="409.6" x14ac:dyDescent="0.2">
      <c r="B16" s="5" t="s">
        <v>31</v>
      </c>
      <c r="D16" s="5" t="s">
        <v>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17239-5FE6-B14B-84D0-7BA5971FED7D}">
  <sheetPr codeName="Sheet8"/>
  <dimension ref="B2:R16"/>
  <sheetViews>
    <sheetView topLeftCell="E1" workbookViewId="0">
      <selection activeCell="R4" sqref="R4:R9"/>
    </sheetView>
  </sheetViews>
  <sheetFormatPr baseColWidth="10" defaultRowHeight="16" x14ac:dyDescent="0.2"/>
  <cols>
    <col min="2" max="2" width="43" customWidth="1"/>
  </cols>
  <sheetData>
    <row r="2" spans="2:18" x14ac:dyDescent="0.2">
      <c r="M2" t="s">
        <v>116</v>
      </c>
    </row>
    <row r="3" spans="2:18" x14ac:dyDescent="0.2">
      <c r="C3" t="s">
        <v>21</v>
      </c>
      <c r="M3">
        <v>1</v>
      </c>
      <c r="N3">
        <v>2</v>
      </c>
      <c r="O3">
        <v>3</v>
      </c>
      <c r="P3">
        <v>4</v>
      </c>
      <c r="Q3">
        <v>5</v>
      </c>
    </row>
    <row r="4" spans="2:18" ht="34" x14ac:dyDescent="0.2">
      <c r="B4" s="5" t="s">
        <v>0</v>
      </c>
      <c r="C4">
        <v>3</v>
      </c>
      <c r="D4">
        <v>5</v>
      </c>
      <c r="E4">
        <v>4</v>
      </c>
      <c r="F4">
        <v>4</v>
      </c>
      <c r="G4">
        <v>3</v>
      </c>
      <c r="H4">
        <v>4</v>
      </c>
      <c r="I4">
        <v>5</v>
      </c>
      <c r="J4">
        <v>2</v>
      </c>
      <c r="K4">
        <v>3</v>
      </c>
      <c r="L4" t="s">
        <v>105</v>
      </c>
      <c r="M4">
        <f>COUNTIF($C4:$K4, M$3)</f>
        <v>0</v>
      </c>
      <c r="N4">
        <f t="shared" ref="N4:Q9" si="0">COUNTIF($C4:$K4, N$3)</f>
        <v>1</v>
      </c>
      <c r="O4">
        <f t="shared" si="0"/>
        <v>3</v>
      </c>
      <c r="P4">
        <f t="shared" si="0"/>
        <v>3</v>
      </c>
      <c r="Q4">
        <f t="shared" si="0"/>
        <v>2</v>
      </c>
      <c r="R4">
        <f>SUM(M4:Q4)</f>
        <v>9</v>
      </c>
    </row>
    <row r="5" spans="2:18" ht="34" x14ac:dyDescent="0.2">
      <c r="B5" s="5" t="s">
        <v>2</v>
      </c>
      <c r="C5">
        <v>4</v>
      </c>
      <c r="D5">
        <v>5</v>
      </c>
      <c r="E5">
        <v>4</v>
      </c>
      <c r="F5">
        <v>3</v>
      </c>
      <c r="G5">
        <v>3</v>
      </c>
      <c r="H5">
        <v>5</v>
      </c>
      <c r="I5">
        <v>4</v>
      </c>
      <c r="J5">
        <v>5</v>
      </c>
      <c r="K5">
        <v>4</v>
      </c>
      <c r="M5">
        <f t="shared" ref="M5:M9" si="1">COUNTIF($C5:$K5, M$3)</f>
        <v>0</v>
      </c>
      <c r="N5">
        <f t="shared" si="0"/>
        <v>0</v>
      </c>
      <c r="O5">
        <f t="shared" si="0"/>
        <v>2</v>
      </c>
      <c r="P5">
        <f t="shared" si="0"/>
        <v>4</v>
      </c>
      <c r="Q5">
        <f t="shared" si="0"/>
        <v>3</v>
      </c>
      <c r="R5">
        <f t="shared" ref="R5:R9" si="2">SUM(M5:Q5)</f>
        <v>9</v>
      </c>
    </row>
    <row r="6" spans="2:18" ht="51" x14ac:dyDescent="0.2">
      <c r="B6" s="5" t="s">
        <v>3</v>
      </c>
      <c r="C6">
        <v>3</v>
      </c>
      <c r="D6">
        <v>4</v>
      </c>
      <c r="E6">
        <v>4</v>
      </c>
      <c r="F6">
        <v>4</v>
      </c>
      <c r="G6">
        <v>2</v>
      </c>
      <c r="H6">
        <v>4</v>
      </c>
      <c r="I6">
        <v>4</v>
      </c>
      <c r="J6">
        <v>5</v>
      </c>
      <c r="K6">
        <v>5</v>
      </c>
      <c r="M6">
        <f t="shared" si="1"/>
        <v>0</v>
      </c>
      <c r="N6">
        <f t="shared" si="0"/>
        <v>1</v>
      </c>
      <c r="O6">
        <f t="shared" si="0"/>
        <v>1</v>
      </c>
      <c r="P6">
        <f t="shared" si="0"/>
        <v>5</v>
      </c>
      <c r="Q6">
        <f t="shared" si="0"/>
        <v>2</v>
      </c>
      <c r="R6">
        <f t="shared" si="2"/>
        <v>9</v>
      </c>
    </row>
    <row r="7" spans="2:18" ht="34" x14ac:dyDescent="0.2">
      <c r="B7" s="5" t="s">
        <v>4</v>
      </c>
      <c r="C7">
        <v>5</v>
      </c>
      <c r="D7">
        <v>5</v>
      </c>
      <c r="E7">
        <v>4</v>
      </c>
      <c r="F7">
        <v>4</v>
      </c>
      <c r="G7">
        <v>4</v>
      </c>
      <c r="H7">
        <v>5</v>
      </c>
      <c r="I7">
        <v>5</v>
      </c>
      <c r="J7">
        <v>5</v>
      </c>
      <c r="K7">
        <v>5</v>
      </c>
      <c r="M7">
        <f t="shared" si="1"/>
        <v>0</v>
      </c>
      <c r="N7">
        <f t="shared" si="0"/>
        <v>0</v>
      </c>
      <c r="O7">
        <f t="shared" si="0"/>
        <v>0</v>
      </c>
      <c r="P7">
        <f t="shared" si="0"/>
        <v>3</v>
      </c>
      <c r="Q7">
        <f t="shared" si="0"/>
        <v>6</v>
      </c>
      <c r="R7">
        <f t="shared" si="2"/>
        <v>9</v>
      </c>
    </row>
    <row r="8" spans="2:18" ht="51" x14ac:dyDescent="0.2">
      <c r="B8" s="5" t="s">
        <v>5</v>
      </c>
      <c r="C8">
        <v>5</v>
      </c>
      <c r="D8">
        <v>5</v>
      </c>
      <c r="E8">
        <v>4</v>
      </c>
      <c r="F8">
        <v>4</v>
      </c>
      <c r="G8">
        <v>3</v>
      </c>
      <c r="H8">
        <v>5</v>
      </c>
      <c r="I8">
        <v>5</v>
      </c>
      <c r="J8">
        <v>5</v>
      </c>
      <c r="K8">
        <v>5</v>
      </c>
      <c r="M8">
        <f t="shared" si="1"/>
        <v>0</v>
      </c>
      <c r="N8">
        <f t="shared" si="0"/>
        <v>0</v>
      </c>
      <c r="O8">
        <f t="shared" si="0"/>
        <v>1</v>
      </c>
      <c r="P8">
        <f t="shared" si="0"/>
        <v>2</v>
      </c>
      <c r="Q8">
        <f t="shared" si="0"/>
        <v>6</v>
      </c>
      <c r="R8">
        <f t="shared" si="2"/>
        <v>9</v>
      </c>
    </row>
    <row r="9" spans="2:18" ht="17" x14ac:dyDescent="0.2">
      <c r="B9" s="5" t="s">
        <v>6</v>
      </c>
      <c r="C9">
        <v>3</v>
      </c>
      <c r="D9">
        <v>5</v>
      </c>
      <c r="E9">
        <v>4</v>
      </c>
      <c r="F9">
        <v>4</v>
      </c>
      <c r="G9">
        <v>3</v>
      </c>
      <c r="H9">
        <v>4</v>
      </c>
      <c r="I9">
        <v>5</v>
      </c>
      <c r="J9">
        <v>3</v>
      </c>
      <c r="K9">
        <v>4</v>
      </c>
      <c r="M9">
        <f t="shared" si="1"/>
        <v>0</v>
      </c>
      <c r="N9">
        <f t="shared" si="0"/>
        <v>0</v>
      </c>
      <c r="O9">
        <f t="shared" si="0"/>
        <v>3</v>
      </c>
      <c r="P9">
        <f t="shared" si="0"/>
        <v>4</v>
      </c>
      <c r="Q9">
        <f t="shared" si="0"/>
        <v>2</v>
      </c>
      <c r="R9">
        <f t="shared" si="2"/>
        <v>9</v>
      </c>
    </row>
    <row r="10" spans="2:18" ht="409.6" x14ac:dyDescent="0.2">
      <c r="B10" s="5" t="s">
        <v>1</v>
      </c>
      <c r="C10" s="5" t="s">
        <v>20</v>
      </c>
      <c r="E10" s="5" t="s">
        <v>64</v>
      </c>
      <c r="F10" s="5" t="s">
        <v>67</v>
      </c>
      <c r="G10" s="5" t="s">
        <v>77</v>
      </c>
      <c r="K10" s="5" t="s">
        <v>103</v>
      </c>
      <c r="L10" s="5" t="s">
        <v>104</v>
      </c>
      <c r="M10" t="s">
        <v>107</v>
      </c>
      <c r="N10" s="5" t="s">
        <v>113</v>
      </c>
    </row>
    <row r="11" spans="2:18" ht="409.5" x14ac:dyDescent="0.2">
      <c r="B11" s="5" t="s">
        <v>26</v>
      </c>
      <c r="D11" s="5" t="s">
        <v>38</v>
      </c>
      <c r="J11" s="5" t="s">
        <v>78</v>
      </c>
    </row>
    <row r="12" spans="2:18" ht="409.6" x14ac:dyDescent="0.2">
      <c r="B12" s="5" t="s">
        <v>30</v>
      </c>
      <c r="D12" s="5" t="s">
        <v>39</v>
      </c>
      <c r="J12" t="s">
        <v>79</v>
      </c>
    </row>
    <row r="13" spans="2:18" ht="409.6" x14ac:dyDescent="0.2">
      <c r="B13" s="5" t="s">
        <v>27</v>
      </c>
      <c r="D13" s="5" t="s">
        <v>40</v>
      </c>
      <c r="J13" t="s">
        <v>80</v>
      </c>
    </row>
    <row r="14" spans="2:18" ht="409.6" x14ac:dyDescent="0.2">
      <c r="B14" s="5" t="s">
        <v>28</v>
      </c>
      <c r="D14" s="5" t="s">
        <v>41</v>
      </c>
      <c r="J14" t="s">
        <v>81</v>
      </c>
    </row>
    <row r="15" spans="2:18" ht="409.6" x14ac:dyDescent="0.2">
      <c r="B15" s="5" t="s">
        <v>29</v>
      </c>
      <c r="D15" s="5" t="s">
        <v>42</v>
      </c>
      <c r="J15" t="s">
        <v>82</v>
      </c>
    </row>
    <row r="16" spans="2:18" ht="409.6" x14ac:dyDescent="0.2">
      <c r="B16" s="5" t="s">
        <v>31</v>
      </c>
      <c r="D16" s="5" t="s">
        <v>43</v>
      </c>
      <c r="J16"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Input1</vt:lpstr>
      <vt:lpstr>Input2</vt:lpstr>
      <vt:lpstr>Input3</vt:lpstr>
      <vt:lpstr>Input4</vt:lpstr>
      <vt:lpstr>Input5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Feiler, Lena (Alumni DACS)</dc:creator>
  <cp:lastModifiedBy>Lena Feiler</cp:lastModifiedBy>
  <dcterms:created xsi:type="dcterms:W3CDTF">2025-04-03T09:21:02Z</dcterms:created>
  <dcterms:modified xsi:type="dcterms:W3CDTF">2025-04-03T22:22:50Z</dcterms:modified>
</cp:coreProperties>
</file>